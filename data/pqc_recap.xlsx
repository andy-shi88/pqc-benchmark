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constrained" sheetId="1" r:id="rId5"/>
    <sheet state="visible" name="recapunconstrained" sheetId="2" r:id="rId6"/>
    <sheet state="visible" name="moderate" sheetId="3" r:id="rId7"/>
    <sheet state="visible" name="recapmoderate" sheetId="4" r:id="rId8"/>
    <sheet state="visible" name="extreme" sheetId="5" r:id="rId9"/>
    <sheet state="visible" name="recapextreme" sheetId="6" r:id="rId10"/>
    <sheet state="visible" name="artifact-size" sheetId="7" r:id="rId11"/>
    <sheet state="visible" name="statistic" sheetId="8" r:id="rId12"/>
    <sheet state="visible" name="visualization" sheetId="9" r:id="rId13"/>
  </sheets>
  <definedNames/>
  <calcPr/>
</workbook>
</file>

<file path=xl/sharedStrings.xml><?xml version="1.0" encoding="utf-8"?>
<sst xmlns="http://schemas.openxmlformats.org/spreadsheetml/2006/main" count="481" uniqueCount="64">
  <si>
    <t>algorithm</t>
  </si>
  <si>
    <t>iterations</t>
  </si>
  <si>
    <t>repetition</t>
  </si>
  <si>
    <t>generate_total_time</t>
  </si>
  <si>
    <t>generate_median_time</t>
  </si>
  <si>
    <t>public_key_size</t>
  </si>
  <si>
    <t>encapsulate_total_time</t>
  </si>
  <si>
    <t>encapsulate_median_time</t>
  </si>
  <si>
    <t>ciphertext_size</t>
  </si>
  <si>
    <t>decapsulate_total_time</t>
  </si>
  <si>
    <t>decapsulate_median_time</t>
  </si>
  <si>
    <t>memory_current_mb</t>
  </si>
  <si>
    <t>memory_peak_mb</t>
  </si>
  <si>
    <t>oom_errors</t>
  </si>
  <si>
    <t>BIKE-L1</t>
  </si>
  <si>
    <t>ML-KEM-512</t>
  </si>
  <si>
    <t>ML-KEM-768</t>
  </si>
  <si>
    <t>ML-KEM-1024</t>
  </si>
  <si>
    <t>FrodoKEM-640-AES</t>
  </si>
  <si>
    <t>ECDH-X25519</t>
  </si>
  <si>
    <t>ECDSA-P256</t>
  </si>
  <si>
    <t>RSA-2048</t>
  </si>
  <si>
    <t>Dilithium2</t>
  </si>
  <si>
    <t>Dilithium3</t>
  </si>
  <si>
    <t>Dilithium5</t>
  </si>
  <si>
    <t>SPHINCS+SHA2-128s-simple</t>
  </si>
  <si>
    <t>SPHINCS+SHA2-192s-simple</t>
  </si>
  <si>
    <t>SPHINCS+SHA2-256s-simple</t>
  </si>
  <si>
    <t>KEM Algorithms</t>
  </si>
  <si>
    <t>Metric</t>
  </si>
  <si>
    <t>FrodoKEM-640</t>
  </si>
  <si>
    <t>Min</t>
  </si>
  <si>
    <t>Max</t>
  </si>
  <si>
    <t>Keygen (ms)</t>
  </si>
  <si>
    <t>Encaps (ms)</t>
  </si>
  <si>
    <t>Decaps (ms)</t>
  </si>
  <si>
    <t>PK Size (bytes)</t>
  </si>
  <si>
    <t>CT Size (bytes)</t>
  </si>
  <si>
    <t>Peak Memory (KB)</t>
  </si>
  <si>
    <t>Ops / s (encaps)</t>
  </si>
  <si>
    <t>Signature Algorithms</t>
  </si>
  <si>
    <t>ML-DSA-44</t>
  </si>
  <si>
    <t>ML-DSA-65</t>
  </si>
  <si>
    <t>ML-DSA-87</t>
  </si>
  <si>
    <t>SLH-DSA-128s</t>
  </si>
  <si>
    <t>SLH-DSA-192s</t>
  </si>
  <si>
    <t>SLH-DSA-256s</t>
  </si>
  <si>
    <t>EC-DSA-P256</t>
  </si>
  <si>
    <t>Sign (ms)</t>
  </si>
  <si>
    <t>Verify (ms)</t>
  </si>
  <si>
    <t>Total Benchmark Time (Minutes)</t>
  </si>
  <si>
    <t>OOM rate</t>
  </si>
  <si>
    <t>Slow Down (%)</t>
  </si>
  <si>
    <t>Algoritma</t>
  </si>
  <si>
    <t>Tipe</t>
  </si>
  <si>
    <t>NIST-Level</t>
  </si>
  <si>
    <t>PK-Size (B)</t>
  </si>
  <si>
    <t>SK-Size (B)</t>
  </si>
  <si>
    <t>CT/Sig Size (B)</t>
  </si>
  <si>
    <t>Total Overhead (B)</t>
  </si>
  <si>
    <t>KEM</t>
  </si>
  <si>
    <t>Sig</t>
  </si>
  <si>
    <t>~112Bit</t>
  </si>
  <si>
    <t>~128Bit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</si>
</sst>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5" fillId="0" fontId="2" numFmtId="164" xfId="0" applyAlignment="1" applyBorder="1" applyFont="1" applyNumberFormat="1">
      <alignment readingOrder="0"/>
    </xf>
    <xf borderId="5" fillId="0" fontId="1" numFmtId="0" xfId="0" applyAlignment="1" applyBorder="1" applyFont="1">
      <alignment readingOrder="0"/>
    </xf>
    <xf borderId="5" fillId="0" fontId="2" numFmtId="164" xfId="0" applyBorder="1" applyFont="1" applyNumberFormat="1"/>
    <xf borderId="2" fillId="0" fontId="2" numFmtId="1" xfId="0" applyAlignment="1" applyBorder="1" applyFont="1" applyNumberFormat="1">
      <alignment horizontal="center"/>
    </xf>
    <xf borderId="2" fillId="0" fontId="2" numFmtId="1" xfId="0" applyAlignment="1" applyBorder="1" applyFont="1" applyNumberFormat="1">
      <alignment horizontal="center" readingOrder="0"/>
    </xf>
    <xf borderId="5" fillId="0" fontId="2" numFmtId="0" xfId="0" applyAlignment="1" applyBorder="1" applyFont="1">
      <alignment readingOrder="0"/>
    </xf>
    <xf borderId="2" fillId="0" fontId="2" numFmtId="0" xfId="0" applyBorder="1" applyFont="1"/>
    <xf borderId="2" fillId="0" fontId="2" numFmtId="0" xfId="0" applyBorder="1" applyFont="1"/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vertical="center"/>
    </xf>
    <xf borderId="0" fillId="0" fontId="4" numFmtId="0" xfId="0" applyAlignment="1" applyFont="1">
      <alignment readingOrder="0"/>
    </xf>
    <xf borderId="2" fillId="0" fontId="2" numFmtId="0" xfId="0" applyAlignment="1" applyBorder="1" applyFont="1">
      <alignment horizontal="center" readingOrder="0"/>
    </xf>
    <xf borderId="2" fillId="0" fontId="2" numFmtId="10" xfId="0" applyAlignment="1" applyBorder="1" applyFont="1" applyNumberFormat="1">
      <alignment horizontal="center"/>
    </xf>
    <xf borderId="2" fillId="0" fontId="2" numFmtId="2" xfId="0" applyAlignment="1" applyBorder="1" applyFont="1" applyNumberFormat="1">
      <alignment horizontal="center"/>
    </xf>
    <xf borderId="2" fillId="0" fontId="2" numFmtId="2" xfId="0" applyAlignment="1" applyBorder="1" applyFont="1" applyNumberFormat="1">
      <alignment horizontal="center" readingOrder="0"/>
    </xf>
    <xf borderId="2" fillId="0" fontId="2" numFmtId="2" xfId="0" applyBorder="1" applyFont="1" applyNumberFormat="1"/>
    <xf borderId="0" fillId="0" fontId="2" numFmtId="0" xfId="0" applyAlignment="1" applyFont="1">
      <alignment readingOrder="0" shrinkToFit="0" vertical="center" wrapText="0"/>
    </xf>
    <xf borderId="0" fillId="0" fontId="2" numFmtId="1" xfId="0" applyAlignment="1" applyFont="1" applyNumberFormat="1">
      <alignment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unconstraine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dera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trem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tifact-siz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71" displayName="Table3" name="Table3" id="1">
  <tableColumns count="14">
    <tableColumn name="algorithm" id="1"/>
    <tableColumn name="iterations" id="2"/>
    <tableColumn name="repetition" id="3"/>
    <tableColumn name="generate_total_time" id="4"/>
    <tableColumn name="generate_median_time" id="5"/>
    <tableColumn name="public_key_size" id="6"/>
    <tableColumn name="encapsulate_total_time" id="7"/>
    <tableColumn name="encapsulate_median_time" id="8"/>
    <tableColumn name="ciphertext_size" id="9"/>
    <tableColumn name="decapsulate_total_time" id="10"/>
    <tableColumn name="decapsulate_median_time" id="11"/>
    <tableColumn name="memory_current_mb" id="12"/>
    <tableColumn name="memory_peak_mb" id="13"/>
    <tableColumn name="oom_errors" id="14"/>
  </tableColumns>
  <tableStyleInfo name="unconstrained-style" showColumnStripes="0" showFirstColumn="1" showLastColumn="1" showRowStripes="1"/>
</table>
</file>

<file path=xl/tables/table2.xml><?xml version="1.0" encoding="utf-8"?>
<table xmlns="http://schemas.openxmlformats.org/spreadsheetml/2006/main" ref="A1:N71" displayName="Table2" name="Table2" id="2">
  <tableColumns count="14">
    <tableColumn name="algorithm" id="1"/>
    <tableColumn name="iterations" id="2"/>
    <tableColumn name="repetition" id="3"/>
    <tableColumn name="generate_total_time" id="4"/>
    <tableColumn name="generate_median_time" id="5"/>
    <tableColumn name="public_key_size" id="6"/>
    <tableColumn name="encapsulate_total_time" id="7"/>
    <tableColumn name="encapsulate_median_time" id="8"/>
    <tableColumn name="ciphertext_size" id="9"/>
    <tableColumn name="decapsulate_total_time" id="10"/>
    <tableColumn name="decapsulate_median_time" id="11"/>
    <tableColumn name="memory_current_mb" id="12"/>
    <tableColumn name="memory_peak_mb" id="13"/>
    <tableColumn name="oom_errors" id="14"/>
  </tableColumns>
  <tableStyleInfo name="moderate-style" showColumnStripes="0" showFirstColumn="1" showLastColumn="1" showRowStripes="1"/>
</table>
</file>

<file path=xl/tables/table3.xml><?xml version="1.0" encoding="utf-8"?>
<table xmlns="http://schemas.openxmlformats.org/spreadsheetml/2006/main" ref="A1:N71" displayName="Table1" name="Table1" id="3">
  <tableColumns count="14">
    <tableColumn name="algorithm" id="1"/>
    <tableColumn name="iterations" id="2"/>
    <tableColumn name="repetition" id="3"/>
    <tableColumn name="generate_total_time" id="4"/>
    <tableColumn name="generate_median_time" id="5"/>
    <tableColumn name="public_key_size" id="6"/>
    <tableColumn name="encapsulate_total_time" id="7"/>
    <tableColumn name="encapsulate_median_time" id="8"/>
    <tableColumn name="ciphertext_size" id="9"/>
    <tableColumn name="decapsulate_total_time" id="10"/>
    <tableColumn name="decapsulate_median_time" id="11"/>
    <tableColumn name="memory_current_mb" id="12"/>
    <tableColumn name="memory_peak_mb" id="13"/>
    <tableColumn name="oom_errors" id="14"/>
  </tableColumns>
  <tableStyleInfo name="extreme-style" showColumnStripes="0" showFirstColumn="1" showLastColumn="1" showRowStripes="1"/>
</table>
</file>

<file path=xl/tables/table4.xml><?xml version="1.0" encoding="utf-8"?>
<table xmlns="http://schemas.openxmlformats.org/spreadsheetml/2006/main" ref="A1:G15" displayName="Table4" name="Table4" id="4">
  <tableColumns count="7">
    <tableColumn name="Algoritma" id="1"/>
    <tableColumn name="Tipe" id="2"/>
    <tableColumn name="NIST-Level" id="3"/>
    <tableColumn name="PK-Size (B)" id="4"/>
    <tableColumn name="SK-Size (B)" id="5"/>
    <tableColumn name="CT/Sig Size (B)" id="6"/>
    <tableColumn name="Total Overhead (B)" id="7"/>
  </tableColumns>
  <tableStyleInfo name="artifact-siz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2" width="15.88"/>
    <col customWidth="1" min="3" max="3" width="16.0"/>
    <col customWidth="1" min="4" max="4" width="23.63"/>
    <col customWidth="1" min="5" max="5" width="25.75"/>
    <col customWidth="1" min="6" max="6" width="20.38"/>
    <col customWidth="1" min="7" max="7" width="26.13"/>
    <col customWidth="1" min="8" max="8" width="28.25"/>
    <col customWidth="1" min="9" max="9" width="20.13"/>
    <col customWidth="1" min="10" max="10" width="26.13"/>
    <col customWidth="1" min="11" max="11" width="28.25"/>
    <col customWidth="1" min="12" max="12" width="24.25"/>
    <col customWidth="1" min="13" max="13" width="22.38"/>
    <col customWidth="1" min="14" max="14" width="17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 t="s">
        <v>14</v>
      </c>
      <c r="B2" s="3">
        <v>100.0</v>
      </c>
      <c r="C2" s="3">
        <v>1.0</v>
      </c>
      <c r="D2" s="3">
        <v>1.00969886779785</v>
      </c>
      <c r="E2" s="3">
        <v>0.00975298881530762</v>
      </c>
      <c r="F2" s="3">
        <v>1541.0</v>
      </c>
      <c r="G2" s="3">
        <v>0.0540299415588379</v>
      </c>
      <c r="H2" s="3">
        <v>5.15937805175781E-4</v>
      </c>
      <c r="I2" s="3">
        <v>1573.0</v>
      </c>
      <c r="J2" s="3">
        <v>0.813675880432129</v>
      </c>
      <c r="K2" s="3">
        <v>0.00805437564849854</v>
      </c>
      <c r="L2" s="3">
        <v>0.036329</v>
      </c>
      <c r="M2" s="3">
        <v>0.043274</v>
      </c>
      <c r="N2" s="3">
        <v>0.0</v>
      </c>
    </row>
    <row r="3" ht="22.5" customHeight="1">
      <c r="A3" s="2" t="s">
        <v>14</v>
      </c>
      <c r="B3" s="3">
        <v>100.0</v>
      </c>
      <c r="C3" s="3">
        <v>2.0</v>
      </c>
      <c r="D3" s="3">
        <v>0.981360673904419</v>
      </c>
      <c r="E3" s="3">
        <v>0.0097653865814209</v>
      </c>
      <c r="F3" s="3">
        <v>1541.0</v>
      </c>
      <c r="G3" s="3">
        <v>0.0524816513061523</v>
      </c>
      <c r="H3" s="3">
        <v>5.18798828125E-4</v>
      </c>
      <c r="I3" s="3">
        <v>1573.0</v>
      </c>
      <c r="J3" s="3">
        <v>0.815483808517456</v>
      </c>
      <c r="K3" s="3">
        <v>0.00807464122772217</v>
      </c>
      <c r="L3" s="3">
        <v>0.022906</v>
      </c>
      <c r="M3" s="3">
        <v>0.029851</v>
      </c>
      <c r="N3" s="3">
        <v>0.0</v>
      </c>
    </row>
    <row r="4" ht="22.5" customHeight="1">
      <c r="A4" s="2" t="s">
        <v>14</v>
      </c>
      <c r="B4" s="3">
        <v>100.0</v>
      </c>
      <c r="C4" s="3">
        <v>3.0</v>
      </c>
      <c r="D4" s="3">
        <v>0.97067666053772</v>
      </c>
      <c r="E4" s="3">
        <v>0.00974035263061523</v>
      </c>
      <c r="F4" s="3">
        <v>1541.0</v>
      </c>
      <c r="G4" s="3">
        <v>0.0518004894256592</v>
      </c>
      <c r="H4" s="3">
        <v>5.1414966583252E-4</v>
      </c>
      <c r="I4" s="3">
        <v>1573.0</v>
      </c>
      <c r="J4" s="3">
        <v>0.808058738708496</v>
      </c>
      <c r="K4" s="3">
        <v>0.0080571174621582</v>
      </c>
      <c r="L4" s="3">
        <v>0.022785</v>
      </c>
      <c r="M4" s="3">
        <v>0.02973</v>
      </c>
      <c r="N4" s="3">
        <v>0.0</v>
      </c>
    </row>
    <row r="5" ht="22.5" customHeight="1">
      <c r="A5" s="2" t="s">
        <v>14</v>
      </c>
      <c r="B5" s="3">
        <v>100.0</v>
      </c>
      <c r="C5" s="3">
        <v>4.0</v>
      </c>
      <c r="D5" s="3">
        <v>0.970076560974121</v>
      </c>
      <c r="E5" s="3">
        <v>0.00969076156616211</v>
      </c>
      <c r="F5" s="3">
        <v>1541.0</v>
      </c>
      <c r="G5" s="3">
        <v>0.0515332221984863</v>
      </c>
      <c r="H5" s="3">
        <v>5.13911247253418E-4</v>
      </c>
      <c r="I5" s="3">
        <v>1573.0</v>
      </c>
      <c r="J5" s="3">
        <v>0.803920984268189</v>
      </c>
      <c r="K5" s="3">
        <v>0.00799751281738281</v>
      </c>
      <c r="L5" s="3">
        <v>0.022879</v>
      </c>
      <c r="M5" s="3">
        <v>0.029824</v>
      </c>
      <c r="N5" s="3">
        <v>0.0</v>
      </c>
    </row>
    <row r="6" ht="22.5" customHeight="1">
      <c r="A6" s="2" t="s">
        <v>14</v>
      </c>
      <c r="B6" s="3">
        <v>100.0</v>
      </c>
      <c r="C6" s="3">
        <v>5.0</v>
      </c>
      <c r="D6" s="3">
        <v>0.983299016952515</v>
      </c>
      <c r="E6" s="3">
        <v>0.00963091850280762</v>
      </c>
      <c r="F6" s="3">
        <v>1541.0</v>
      </c>
      <c r="G6" s="3">
        <v>0.0519528388977051</v>
      </c>
      <c r="H6" s="3">
        <v>5.13672828674316E-4</v>
      </c>
      <c r="I6" s="3">
        <v>1573.0</v>
      </c>
      <c r="J6" s="3">
        <v>0.805072784423828</v>
      </c>
      <c r="K6" s="3">
        <v>0.00795817375183106</v>
      </c>
      <c r="L6" s="3">
        <v>0.023039</v>
      </c>
      <c r="M6" s="3">
        <v>0.029984</v>
      </c>
      <c r="N6" s="3">
        <v>0.0</v>
      </c>
    </row>
    <row r="7" ht="22.5" customHeight="1">
      <c r="A7" s="2" t="s">
        <v>15</v>
      </c>
      <c r="B7" s="3">
        <v>100.0</v>
      </c>
      <c r="C7" s="3">
        <v>1.0</v>
      </c>
      <c r="D7" s="3">
        <v>0.00499391555786133</v>
      </c>
      <c r="E7" s="3">
        <v>4.89950180053711E-5</v>
      </c>
      <c r="F7" s="3">
        <v>800.0</v>
      </c>
      <c r="G7" s="3">
        <v>0.00561332702636719</v>
      </c>
      <c r="H7" s="3">
        <v>5.40018081665039E-5</v>
      </c>
      <c r="I7" s="3">
        <v>768.0</v>
      </c>
      <c r="J7" s="3">
        <v>0.00499749183654785</v>
      </c>
      <c r="K7" s="3">
        <v>5.05447387695313E-5</v>
      </c>
      <c r="L7" s="3">
        <v>0.025127</v>
      </c>
      <c r="M7" s="3">
        <v>0.027932</v>
      </c>
      <c r="N7" s="3">
        <v>0.0</v>
      </c>
    </row>
    <row r="8" ht="22.5" customHeight="1">
      <c r="A8" s="2" t="s">
        <v>15</v>
      </c>
      <c r="B8" s="3">
        <v>100.0</v>
      </c>
      <c r="C8" s="3">
        <v>2.0</v>
      </c>
      <c r="D8" s="3">
        <v>0.00379252433776855</v>
      </c>
      <c r="E8" s="3">
        <v>3.95774841308594E-5</v>
      </c>
      <c r="F8" s="3">
        <v>800.0</v>
      </c>
      <c r="G8" s="3">
        <v>0.00429105758666992</v>
      </c>
      <c r="H8" s="3">
        <v>4.33921813964844E-5</v>
      </c>
      <c r="I8" s="3">
        <v>768.0</v>
      </c>
      <c r="J8" s="3">
        <v>0.00396919250488281</v>
      </c>
      <c r="K8" s="3">
        <v>4.12464141845703E-5</v>
      </c>
      <c r="L8" s="3">
        <v>0.014887</v>
      </c>
      <c r="M8" s="3">
        <v>0.017692</v>
      </c>
      <c r="N8" s="3">
        <v>0.0</v>
      </c>
    </row>
    <row r="9" ht="22.5" customHeight="1">
      <c r="A9" s="2" t="s">
        <v>15</v>
      </c>
      <c r="B9" s="3">
        <v>100.0</v>
      </c>
      <c r="C9" s="3">
        <v>3.0</v>
      </c>
      <c r="D9" s="3">
        <v>0.00316452980041504</v>
      </c>
      <c r="E9" s="3">
        <v>2.98023223876953E-5</v>
      </c>
      <c r="F9" s="3">
        <v>800.0</v>
      </c>
      <c r="G9" s="3">
        <v>0.00346732139587402</v>
      </c>
      <c r="H9" s="3">
        <v>3.29017639160156E-5</v>
      </c>
      <c r="I9" s="3">
        <v>768.0</v>
      </c>
      <c r="J9" s="3">
        <v>0.00333404541015625</v>
      </c>
      <c r="K9" s="3">
        <v>3.09944152832031E-5</v>
      </c>
      <c r="L9" s="3">
        <v>0.015143</v>
      </c>
      <c r="M9" s="3">
        <v>0.017948</v>
      </c>
      <c r="N9" s="3">
        <v>0.0</v>
      </c>
    </row>
    <row r="10" ht="22.5" customHeight="1">
      <c r="A10" s="2" t="s">
        <v>15</v>
      </c>
      <c r="B10" s="3">
        <v>100.0</v>
      </c>
      <c r="C10" s="3">
        <v>4.0</v>
      </c>
      <c r="D10" s="3">
        <v>0.00274133682250977</v>
      </c>
      <c r="E10" s="3">
        <v>2.62260437011719E-5</v>
      </c>
      <c r="F10" s="3">
        <v>800.0</v>
      </c>
      <c r="G10" s="3">
        <v>0.00304055213928223</v>
      </c>
      <c r="H10" s="3">
        <v>2.90870666503906E-5</v>
      </c>
      <c r="I10" s="3">
        <v>768.0</v>
      </c>
      <c r="J10" s="3">
        <v>0.0028681755065918</v>
      </c>
      <c r="K10" s="3">
        <v>2.74181365966797E-5</v>
      </c>
      <c r="L10" s="3">
        <v>0.015431</v>
      </c>
      <c r="M10" s="3">
        <v>0.018236</v>
      </c>
      <c r="N10" s="3">
        <v>0.0</v>
      </c>
    </row>
    <row r="11" ht="22.5" customHeight="1">
      <c r="A11" s="2" t="s">
        <v>15</v>
      </c>
      <c r="B11" s="3">
        <v>100.0</v>
      </c>
      <c r="C11" s="3">
        <v>5.0</v>
      </c>
      <c r="D11" s="3">
        <v>0.00248575210571289</v>
      </c>
      <c r="E11" s="3">
        <v>2.36034393310547E-5</v>
      </c>
      <c r="F11" s="3">
        <v>800.0</v>
      </c>
      <c r="G11" s="3">
        <v>0.00270485877990723</v>
      </c>
      <c r="H11" s="3">
        <v>2.57492065429688E-5</v>
      </c>
      <c r="I11" s="3">
        <v>768.0</v>
      </c>
      <c r="J11" s="3">
        <v>0.00256681442260742</v>
      </c>
      <c r="K11" s="3">
        <v>2.43186950683594E-5</v>
      </c>
      <c r="L11" s="3">
        <v>0.015262</v>
      </c>
      <c r="M11" s="3">
        <v>0.018067</v>
      </c>
      <c r="N11" s="3">
        <v>0.0</v>
      </c>
    </row>
    <row r="12" ht="22.5" customHeight="1">
      <c r="A12" s="2" t="s">
        <v>16</v>
      </c>
      <c r="B12" s="3">
        <v>100.0</v>
      </c>
      <c r="C12" s="3">
        <v>1.0</v>
      </c>
      <c r="D12" s="3">
        <v>0.00682187080383301</v>
      </c>
      <c r="E12" s="3">
        <v>6.90221786499023E-5</v>
      </c>
      <c r="F12" s="3">
        <v>1184.0</v>
      </c>
      <c r="G12" s="3">
        <v>0.00741910934448242</v>
      </c>
      <c r="H12" s="3">
        <v>7.2479248046875E-5</v>
      </c>
      <c r="I12" s="3">
        <v>1088.0</v>
      </c>
      <c r="J12" s="3">
        <v>0.00707125663757324</v>
      </c>
      <c r="K12" s="3">
        <v>7.21216201782227E-5</v>
      </c>
      <c r="L12" s="3">
        <v>0.02431</v>
      </c>
      <c r="M12" s="3">
        <v>0.028203</v>
      </c>
      <c r="N12" s="3">
        <v>0.0</v>
      </c>
    </row>
    <row r="13" ht="22.5" customHeight="1">
      <c r="A13" s="2" t="s">
        <v>16</v>
      </c>
      <c r="B13" s="3">
        <v>100.0</v>
      </c>
      <c r="C13" s="3">
        <v>2.0</v>
      </c>
      <c r="D13" s="3">
        <v>0.00475192070007324</v>
      </c>
      <c r="E13" s="3">
        <v>4.79221343994141E-5</v>
      </c>
      <c r="F13" s="3">
        <v>1184.0</v>
      </c>
      <c r="G13" s="3">
        <v>0.00502872467041016</v>
      </c>
      <c r="H13" s="3">
        <v>5.04255294799805E-5</v>
      </c>
      <c r="I13" s="3">
        <v>1088.0</v>
      </c>
      <c r="J13" s="3">
        <v>0.00500988960266113</v>
      </c>
      <c r="K13" s="3">
        <v>5.05447387695313E-5</v>
      </c>
      <c r="L13" s="3">
        <v>0.016039</v>
      </c>
      <c r="M13" s="3">
        <v>0.019996</v>
      </c>
      <c r="N13" s="3">
        <v>0.0</v>
      </c>
    </row>
    <row r="14" ht="22.5" customHeight="1">
      <c r="A14" s="2" t="s">
        <v>16</v>
      </c>
      <c r="B14" s="3">
        <v>100.0</v>
      </c>
      <c r="C14" s="3">
        <v>3.0</v>
      </c>
      <c r="D14" s="3">
        <v>0.00386238098144531</v>
      </c>
      <c r="E14" s="3">
        <v>3.69548797607422E-5</v>
      </c>
      <c r="F14" s="3">
        <v>1184.0</v>
      </c>
      <c r="G14" s="3">
        <v>0.0041193962097168</v>
      </c>
      <c r="H14" s="3">
        <v>3.89814376831055E-5</v>
      </c>
      <c r="I14" s="3">
        <v>1088.0</v>
      </c>
      <c r="J14" s="3">
        <v>0.00412273406982422</v>
      </c>
      <c r="K14" s="3">
        <v>3.91006469726563E-5</v>
      </c>
      <c r="L14" s="3">
        <v>0.016263</v>
      </c>
      <c r="M14" s="3">
        <v>0.02022</v>
      </c>
      <c r="N14" s="3">
        <v>0.0</v>
      </c>
    </row>
    <row r="15" ht="22.5" customHeight="1">
      <c r="A15" s="2" t="s">
        <v>16</v>
      </c>
      <c r="B15" s="3">
        <v>100.0</v>
      </c>
      <c r="C15" s="3">
        <v>4.0</v>
      </c>
      <c r="D15" s="3">
        <v>0.00331830978393555</v>
      </c>
      <c r="E15" s="3">
        <v>3.29017639160156E-5</v>
      </c>
      <c r="F15" s="3">
        <v>1184.0</v>
      </c>
      <c r="G15" s="3">
        <v>0.00348806381225586</v>
      </c>
      <c r="H15" s="3">
        <v>3.48091125488281E-5</v>
      </c>
      <c r="I15" s="3">
        <v>1088.0</v>
      </c>
      <c r="J15" s="3">
        <v>0.00349140167236328</v>
      </c>
      <c r="K15" s="3">
        <v>3.46899032592773E-5</v>
      </c>
      <c r="L15" s="3">
        <v>0.016391</v>
      </c>
      <c r="M15" s="3">
        <v>0.020348</v>
      </c>
      <c r="N15" s="3">
        <v>0.0</v>
      </c>
    </row>
    <row r="16" ht="22.5" customHeight="1">
      <c r="A16" s="2" t="s">
        <v>16</v>
      </c>
      <c r="B16" s="3">
        <v>100.0</v>
      </c>
      <c r="C16" s="3">
        <v>5.0</v>
      </c>
      <c r="D16" s="3">
        <v>0.00294160842895508</v>
      </c>
      <c r="E16" s="3">
        <v>2.98023223876953E-5</v>
      </c>
      <c r="F16" s="3">
        <v>1184.0</v>
      </c>
      <c r="G16" s="3">
        <v>0.0030677318572998</v>
      </c>
      <c r="H16" s="3">
        <v>3.14712524414063E-5</v>
      </c>
      <c r="I16" s="3">
        <v>1088.0</v>
      </c>
      <c r="J16" s="3">
        <v>0.0031287670135498</v>
      </c>
      <c r="K16" s="3">
        <v>3.17096710205078E-5</v>
      </c>
      <c r="L16" s="3">
        <v>0.017835</v>
      </c>
      <c r="M16" s="3">
        <v>0.021632</v>
      </c>
      <c r="N16" s="3">
        <v>0.0</v>
      </c>
    </row>
    <row r="17" ht="22.5" customHeight="1">
      <c r="A17" s="2" t="s">
        <v>17</v>
      </c>
      <c r="B17" s="3">
        <v>100.0</v>
      </c>
      <c r="C17" s="3">
        <v>1.0</v>
      </c>
      <c r="D17" s="3">
        <v>0.00843000411987305</v>
      </c>
      <c r="E17" s="3">
        <v>7.58171081542969E-5</v>
      </c>
      <c r="F17" s="3">
        <v>1568.0</v>
      </c>
      <c r="G17" s="3">
        <v>0.00941872596740723</v>
      </c>
      <c r="H17" s="3">
        <v>9.36985015869141E-5</v>
      </c>
      <c r="I17" s="3">
        <v>1568.0</v>
      </c>
      <c r="J17" s="3">
        <v>0.00931811332702637</v>
      </c>
      <c r="K17" s="3">
        <v>8.40425491333008E-5</v>
      </c>
      <c r="L17" s="3">
        <v>0.022865</v>
      </c>
      <c r="M17" s="3">
        <v>0.028004</v>
      </c>
      <c r="N17" s="3">
        <v>0.0</v>
      </c>
    </row>
    <row r="18" ht="22.5" customHeight="1">
      <c r="A18" s="2" t="s">
        <v>17</v>
      </c>
      <c r="B18" s="3">
        <v>100.0</v>
      </c>
      <c r="C18" s="3">
        <v>2.0</v>
      </c>
      <c r="D18" s="3">
        <v>0.00610852241516113</v>
      </c>
      <c r="E18" s="3">
        <v>5.60283660888672E-5</v>
      </c>
      <c r="F18" s="3">
        <v>1568.0</v>
      </c>
      <c r="G18" s="3">
        <v>0.00882863998413086</v>
      </c>
      <c r="H18" s="3">
        <v>6.03199005126953E-5</v>
      </c>
      <c r="I18" s="3">
        <v>1568.0</v>
      </c>
      <c r="J18" s="3">
        <v>0.00820183753967285</v>
      </c>
      <c r="K18" s="3">
        <v>6.18696212768555E-5</v>
      </c>
      <c r="L18" s="3">
        <v>0.017927</v>
      </c>
      <c r="M18" s="3">
        <v>0.023066</v>
      </c>
      <c r="N18" s="3">
        <v>0.0</v>
      </c>
    </row>
    <row r="19" ht="22.5" customHeight="1">
      <c r="A19" s="2" t="s">
        <v>17</v>
      </c>
      <c r="B19" s="3">
        <v>100.0</v>
      </c>
      <c r="C19" s="3">
        <v>3.0</v>
      </c>
      <c r="D19" s="3">
        <v>0.00425028800964356</v>
      </c>
      <c r="E19" s="3">
        <v>4.38690185546875E-5</v>
      </c>
      <c r="F19" s="3">
        <v>1568.0</v>
      </c>
      <c r="G19" s="3">
        <v>0.00461697578430176</v>
      </c>
      <c r="H19" s="3">
        <v>4.67300415039063E-5</v>
      </c>
      <c r="I19" s="3">
        <v>1568.0</v>
      </c>
      <c r="J19" s="3">
        <v>0.00475049018859863</v>
      </c>
      <c r="K19" s="3">
        <v>4.83989715576172E-5</v>
      </c>
      <c r="L19" s="3">
        <v>0.019783</v>
      </c>
      <c r="M19" s="3">
        <v>0.024922</v>
      </c>
      <c r="N19" s="3">
        <v>0.0</v>
      </c>
    </row>
    <row r="20" ht="22.5" customHeight="1">
      <c r="A20" s="2" t="s">
        <v>17</v>
      </c>
      <c r="B20" s="3">
        <v>100.0</v>
      </c>
      <c r="C20" s="3">
        <v>4.0</v>
      </c>
      <c r="D20" s="3">
        <v>0.00364851951599121</v>
      </c>
      <c r="E20" s="3">
        <v>3.69548797607422E-5</v>
      </c>
      <c r="F20" s="3">
        <v>1568.0</v>
      </c>
      <c r="G20" s="3">
        <v>0.00391459465026856</v>
      </c>
      <c r="H20" s="3">
        <v>3.93390655517578E-5</v>
      </c>
      <c r="I20" s="3">
        <v>1568.0</v>
      </c>
      <c r="J20" s="3">
        <v>0.00403285026550293</v>
      </c>
      <c r="K20" s="3">
        <v>4.07695770263672E-5</v>
      </c>
      <c r="L20" s="3">
        <v>0.020071</v>
      </c>
      <c r="M20" s="3">
        <v>0.02521</v>
      </c>
      <c r="N20" s="3">
        <v>0.0</v>
      </c>
    </row>
    <row r="21" ht="22.5" customHeight="1">
      <c r="A21" s="2" t="s">
        <v>17</v>
      </c>
      <c r="B21" s="3">
        <v>100.0</v>
      </c>
      <c r="C21" s="3">
        <v>5.0</v>
      </c>
      <c r="D21" s="3">
        <v>0.00341320037841797</v>
      </c>
      <c r="E21" s="3">
        <v>3.45706939697266E-5</v>
      </c>
      <c r="F21" s="3">
        <v>1568.0</v>
      </c>
      <c r="G21" s="3">
        <v>0.00363492965698242</v>
      </c>
      <c r="H21" s="3">
        <v>3.67164611816406E-5</v>
      </c>
      <c r="I21" s="3">
        <v>1568.0</v>
      </c>
      <c r="J21" s="3">
        <v>0.0037386417388916</v>
      </c>
      <c r="K21" s="3">
        <v>3.814697265625E-5</v>
      </c>
      <c r="L21" s="3">
        <v>0.017289</v>
      </c>
      <c r="M21" s="3">
        <v>0.02507</v>
      </c>
      <c r="N21" s="3">
        <v>0.0</v>
      </c>
    </row>
    <row r="22" ht="22.5" customHeight="1">
      <c r="A22" s="2" t="s">
        <v>18</v>
      </c>
      <c r="B22" s="3">
        <v>100.0</v>
      </c>
      <c r="C22" s="3">
        <v>1.0</v>
      </c>
      <c r="D22" s="3">
        <v>0.0269267559051514</v>
      </c>
      <c r="E22" s="3">
        <v>2.45094299316406E-4</v>
      </c>
      <c r="F22" s="3">
        <v>9616.0</v>
      </c>
      <c r="G22" s="3">
        <v>0.0503695011138916</v>
      </c>
      <c r="H22" s="3">
        <v>4.58002090454102E-4</v>
      </c>
      <c r="I22" s="3">
        <v>9720.0</v>
      </c>
      <c r="J22" s="3">
        <v>0.0485081672668457</v>
      </c>
      <c r="K22" s="3">
        <v>4.44173812866211E-4</v>
      </c>
      <c r="L22" s="3">
        <v>0.077754</v>
      </c>
      <c r="M22" s="3">
        <v>0.107439</v>
      </c>
      <c r="N22" s="3">
        <v>0.0</v>
      </c>
    </row>
    <row r="23" ht="22.5" customHeight="1">
      <c r="A23" s="2" t="s">
        <v>18</v>
      </c>
      <c r="B23" s="3">
        <v>100.0</v>
      </c>
      <c r="C23" s="3">
        <v>2.0</v>
      </c>
      <c r="D23" s="3">
        <v>0.0238399505615234</v>
      </c>
      <c r="E23" s="3">
        <v>2.36749649047852E-4</v>
      </c>
      <c r="F23" s="3">
        <v>9616.0</v>
      </c>
      <c r="G23" s="3">
        <v>0.0447056293487549</v>
      </c>
      <c r="H23" s="3">
        <v>4.46557998657227E-4</v>
      </c>
      <c r="I23" s="3">
        <v>9720.0</v>
      </c>
      <c r="J23" s="3">
        <v>0.0432426929473877</v>
      </c>
      <c r="K23" s="3">
        <v>4.31656837463379E-4</v>
      </c>
      <c r="L23" s="3">
        <v>0.068175</v>
      </c>
      <c r="M23" s="3">
        <v>0.09786</v>
      </c>
      <c r="N23" s="3">
        <v>0.0</v>
      </c>
    </row>
    <row r="24" ht="22.5" customHeight="1">
      <c r="A24" s="2" t="s">
        <v>18</v>
      </c>
      <c r="B24" s="3">
        <v>100.0</v>
      </c>
      <c r="C24" s="3">
        <v>3.0</v>
      </c>
      <c r="D24" s="3">
        <v>0.0239126682281494</v>
      </c>
      <c r="E24" s="3">
        <v>2.36749649047852E-4</v>
      </c>
      <c r="F24" s="3">
        <v>9616.0</v>
      </c>
      <c r="G24" s="3">
        <v>0.0448057651519775</v>
      </c>
      <c r="H24" s="3">
        <v>4.47511672973633E-4</v>
      </c>
      <c r="I24" s="3">
        <v>9720.0</v>
      </c>
      <c r="J24" s="3">
        <v>0.0434610843658447</v>
      </c>
      <c r="K24" s="3">
        <v>4.31537628173828E-4</v>
      </c>
      <c r="L24" s="3">
        <v>0.068431</v>
      </c>
      <c r="M24" s="3">
        <v>0.097988</v>
      </c>
      <c r="N24" s="3">
        <v>0.0</v>
      </c>
    </row>
    <row r="25" ht="22.5" customHeight="1">
      <c r="A25" s="2" t="s">
        <v>18</v>
      </c>
      <c r="B25" s="3">
        <v>100.0</v>
      </c>
      <c r="C25" s="3">
        <v>4.0</v>
      </c>
      <c r="D25" s="3">
        <v>0.02400803565979</v>
      </c>
      <c r="E25" s="3">
        <v>2.36749649047852E-4</v>
      </c>
      <c r="F25" s="3">
        <v>9616.0</v>
      </c>
      <c r="G25" s="3">
        <v>0.0447301864624023</v>
      </c>
      <c r="H25" s="3">
        <v>4.46319580078125E-4</v>
      </c>
      <c r="I25" s="3">
        <v>9720.0</v>
      </c>
      <c r="J25" s="3">
        <v>0.0435705184936523</v>
      </c>
      <c r="K25" s="3">
        <v>4.32610511779785E-4</v>
      </c>
      <c r="L25" s="3">
        <v>0.068591</v>
      </c>
      <c r="M25" s="3">
        <v>0.098276</v>
      </c>
      <c r="N25" s="3">
        <v>0.0</v>
      </c>
    </row>
    <row r="26" ht="22.5" customHeight="1">
      <c r="A26" s="2" t="s">
        <v>18</v>
      </c>
      <c r="B26" s="3">
        <v>100.0</v>
      </c>
      <c r="C26" s="3">
        <v>5.0</v>
      </c>
      <c r="D26" s="3">
        <v>0.0238358974456787</v>
      </c>
      <c r="E26" s="3">
        <v>2.36749649047852E-4</v>
      </c>
      <c r="F26" s="3">
        <v>9616.0</v>
      </c>
      <c r="G26" s="3">
        <v>0.0445775985717773</v>
      </c>
      <c r="H26" s="3">
        <v>4.44889068603516E-4</v>
      </c>
      <c r="I26" s="3">
        <v>9720.0</v>
      </c>
      <c r="J26" s="3">
        <v>0.0432322025299072</v>
      </c>
      <c r="K26" s="3">
        <v>4.31060791015625E-4</v>
      </c>
      <c r="L26" s="3">
        <v>0.06931</v>
      </c>
      <c r="M26" s="3">
        <v>0.098995</v>
      </c>
      <c r="N26" s="3">
        <v>0.0</v>
      </c>
    </row>
    <row r="27" ht="22.5" customHeight="1">
      <c r="A27" s="2" t="s">
        <v>19</v>
      </c>
      <c r="B27" s="3">
        <v>100.0</v>
      </c>
      <c r="C27" s="3">
        <v>1.0</v>
      </c>
      <c r="D27" s="3">
        <v>0.00435924530029297</v>
      </c>
      <c r="E27" s="3">
        <v>4.22000885009766E-5</v>
      </c>
      <c r="F27" s="3">
        <v>32.0</v>
      </c>
      <c r="G27" s="3">
        <v>0.00776124000549316</v>
      </c>
      <c r="H27" s="3">
        <v>7.58171081542969E-5</v>
      </c>
      <c r="I27" s="3">
        <v>32.0</v>
      </c>
      <c r="J27" s="3">
        <v>0.00376152992248535</v>
      </c>
      <c r="K27" s="3">
        <v>3.69548797607422E-5</v>
      </c>
      <c r="L27" s="3">
        <v>0.286323</v>
      </c>
      <c r="M27" s="3">
        <v>0.286636</v>
      </c>
      <c r="N27" s="3">
        <v>0.0</v>
      </c>
    </row>
    <row r="28" ht="22.5" customHeight="1">
      <c r="A28" s="2" t="s">
        <v>19</v>
      </c>
      <c r="B28" s="3">
        <v>100.0</v>
      </c>
      <c r="C28" s="3">
        <v>2.0</v>
      </c>
      <c r="D28" s="3">
        <v>0.00428652763366699</v>
      </c>
      <c r="E28" s="3">
        <v>4.22000885009766E-5</v>
      </c>
      <c r="F28" s="3">
        <v>32.0</v>
      </c>
      <c r="G28" s="3">
        <v>0.00766086578369141</v>
      </c>
      <c r="H28" s="3">
        <v>7.58171081542969E-5</v>
      </c>
      <c r="I28" s="3">
        <v>32.0</v>
      </c>
      <c r="J28" s="3">
        <v>0.00371265411376953</v>
      </c>
      <c r="K28" s="3">
        <v>3.69548797607422E-5</v>
      </c>
      <c r="L28" s="3">
        <v>0.010303</v>
      </c>
      <c r="M28" s="3">
        <v>0.010616</v>
      </c>
      <c r="N28" s="3">
        <v>0.0</v>
      </c>
    </row>
    <row r="29" ht="22.5" customHeight="1">
      <c r="A29" s="2" t="s">
        <v>19</v>
      </c>
      <c r="B29" s="3">
        <v>100.0</v>
      </c>
      <c r="C29" s="3">
        <v>3.0</v>
      </c>
      <c r="D29" s="3">
        <v>0.0042569637298584</v>
      </c>
      <c r="E29" s="3">
        <v>4.22000885009766E-5</v>
      </c>
      <c r="F29" s="3">
        <v>32.0</v>
      </c>
      <c r="G29" s="3">
        <v>0.00765347480773926</v>
      </c>
      <c r="H29" s="3">
        <v>7.58171081542969E-5</v>
      </c>
      <c r="I29" s="3">
        <v>32.0</v>
      </c>
      <c r="J29" s="3">
        <v>0.00371956825256348</v>
      </c>
      <c r="K29" s="3">
        <v>3.69548797607422E-5</v>
      </c>
      <c r="L29" s="3">
        <v>0.008483</v>
      </c>
      <c r="M29" s="3">
        <v>0.008796</v>
      </c>
      <c r="N29" s="3">
        <v>0.0</v>
      </c>
    </row>
    <row r="30" ht="22.5" customHeight="1">
      <c r="A30" s="2" t="s">
        <v>19</v>
      </c>
      <c r="B30" s="3">
        <v>100.0</v>
      </c>
      <c r="C30" s="3">
        <v>4.0</v>
      </c>
      <c r="D30" s="3">
        <v>0.00424909591674805</v>
      </c>
      <c r="E30" s="3">
        <v>4.22000885009766E-5</v>
      </c>
      <c r="F30" s="3">
        <v>32.0</v>
      </c>
      <c r="G30" s="3">
        <v>0.00764036178588867</v>
      </c>
      <c r="H30" s="3">
        <v>7.58171081542969E-5</v>
      </c>
      <c r="I30" s="3">
        <v>32.0</v>
      </c>
      <c r="J30" s="3">
        <v>0.00373148918151855</v>
      </c>
      <c r="K30" s="3">
        <v>3.69548797607422E-5</v>
      </c>
      <c r="L30" s="3">
        <v>0.010591</v>
      </c>
      <c r="M30" s="3">
        <v>0.010904</v>
      </c>
      <c r="N30" s="3">
        <v>0.0</v>
      </c>
    </row>
    <row r="31" ht="22.5" customHeight="1">
      <c r="A31" s="2" t="s">
        <v>19</v>
      </c>
      <c r="B31" s="3">
        <v>100.0</v>
      </c>
      <c r="C31" s="3">
        <v>5.0</v>
      </c>
      <c r="D31" s="3">
        <v>0.00453519821166992</v>
      </c>
      <c r="E31" s="3">
        <v>4.24385070800781E-5</v>
      </c>
      <c r="F31" s="3">
        <v>32.0</v>
      </c>
      <c r="G31" s="3">
        <v>0.00847697257995606</v>
      </c>
      <c r="H31" s="3">
        <v>7.60555267333984E-5</v>
      </c>
      <c r="I31" s="3">
        <v>32.0</v>
      </c>
      <c r="J31" s="3">
        <v>0.00397300720214844</v>
      </c>
      <c r="K31" s="3">
        <v>3.69548797607422E-5</v>
      </c>
      <c r="L31" s="3">
        <v>0.008768</v>
      </c>
      <c r="M31" s="3">
        <v>0.009786</v>
      </c>
      <c r="N31" s="3">
        <v>0.0</v>
      </c>
    </row>
    <row r="32" ht="22.5" customHeight="1">
      <c r="A32" s="2" t="s">
        <v>20</v>
      </c>
      <c r="B32" s="3">
        <v>100.0</v>
      </c>
      <c r="C32" s="3">
        <v>1.0</v>
      </c>
      <c r="D32" s="3">
        <v>0.00592732429504395</v>
      </c>
      <c r="E32" s="3">
        <v>5.14984130859375E-5</v>
      </c>
      <c r="F32" s="3">
        <v>178.0</v>
      </c>
      <c r="G32" s="3">
        <v>0.00494217872619629</v>
      </c>
      <c r="H32" s="3">
        <v>4.42266464233398E-5</v>
      </c>
      <c r="I32" s="3">
        <v>71.0</v>
      </c>
      <c r="J32" s="3">
        <v>0.00910449028015137</v>
      </c>
      <c r="K32" s="3">
        <v>8.24928283691406E-5</v>
      </c>
      <c r="L32" s="3">
        <v>0.020556</v>
      </c>
      <c r="M32" s="3">
        <v>0.021141</v>
      </c>
      <c r="N32" s="3">
        <v>0.0</v>
      </c>
    </row>
    <row r="33" ht="22.5" customHeight="1">
      <c r="A33" s="2" t="s">
        <v>20</v>
      </c>
      <c r="B33" s="3">
        <v>100.0</v>
      </c>
      <c r="C33" s="3">
        <v>2.0</v>
      </c>
      <c r="D33" s="3">
        <v>0.00501036643981934</v>
      </c>
      <c r="E33" s="3">
        <v>4.76837158203125E-5</v>
      </c>
      <c r="F33" s="3">
        <v>178.0</v>
      </c>
      <c r="G33" s="3">
        <v>0.00425338745117188</v>
      </c>
      <c r="H33" s="3">
        <v>4.05311584472656E-5</v>
      </c>
      <c r="I33" s="3">
        <v>71.0</v>
      </c>
      <c r="J33" s="3">
        <v>0.00789308547973633</v>
      </c>
      <c r="K33" s="3">
        <v>7.62939453125E-5</v>
      </c>
      <c r="L33" s="3">
        <v>0.010277</v>
      </c>
      <c r="M33" s="3">
        <v>0.010862</v>
      </c>
      <c r="N33" s="3">
        <v>0.0</v>
      </c>
    </row>
    <row r="34" ht="22.5" customHeight="1">
      <c r="A34" s="2" t="s">
        <v>20</v>
      </c>
      <c r="B34" s="3">
        <v>100.0</v>
      </c>
      <c r="C34" s="3">
        <v>3.0</v>
      </c>
      <c r="D34" s="3">
        <v>0.00480318069458008</v>
      </c>
      <c r="E34" s="3">
        <v>4.69684600830078E-5</v>
      </c>
      <c r="F34" s="3">
        <v>178.0</v>
      </c>
      <c r="G34" s="3">
        <v>0.00416660308837891</v>
      </c>
      <c r="H34" s="3">
        <v>4.00543212890625E-5</v>
      </c>
      <c r="I34" s="3">
        <v>72.0</v>
      </c>
      <c r="J34" s="3">
        <v>0.00768947601318359</v>
      </c>
      <c r="K34" s="3">
        <v>7.58171081542969E-5</v>
      </c>
      <c r="L34" s="3">
        <v>0.01066</v>
      </c>
      <c r="M34" s="3">
        <v>0.011245</v>
      </c>
      <c r="N34" s="3">
        <v>0.0</v>
      </c>
    </row>
    <row r="35" ht="22.5" customHeight="1">
      <c r="A35" s="2" t="s">
        <v>20</v>
      </c>
      <c r="B35" s="3">
        <v>100.0</v>
      </c>
      <c r="C35" s="3">
        <v>4.0</v>
      </c>
      <c r="D35" s="3">
        <v>0.00479578971862793</v>
      </c>
      <c r="E35" s="3">
        <v>4.69684600830078E-5</v>
      </c>
      <c r="F35" s="3">
        <v>178.0</v>
      </c>
      <c r="G35" s="3">
        <v>0.004058837890625</v>
      </c>
      <c r="H35" s="3">
        <v>3.98159027099609E-5</v>
      </c>
      <c r="I35" s="3">
        <v>71.0</v>
      </c>
      <c r="J35" s="3">
        <v>0.00766682624816895</v>
      </c>
      <c r="K35" s="3">
        <v>7.58171081542969E-5</v>
      </c>
      <c r="L35" s="3">
        <v>0.010325</v>
      </c>
      <c r="M35" s="3">
        <v>0.01091</v>
      </c>
      <c r="N35" s="3">
        <v>0.0</v>
      </c>
    </row>
    <row r="36" ht="22.5" customHeight="1">
      <c r="A36" s="2" t="s">
        <v>20</v>
      </c>
      <c r="B36" s="3">
        <v>100.0</v>
      </c>
      <c r="C36" s="3">
        <v>5.0</v>
      </c>
      <c r="D36" s="3">
        <v>0.00485420227050781</v>
      </c>
      <c r="E36" s="3">
        <v>4.69684600830078E-5</v>
      </c>
      <c r="F36" s="3">
        <v>178.0</v>
      </c>
      <c r="G36" s="3">
        <v>0.00404644012451172</v>
      </c>
      <c r="H36" s="3">
        <v>3.98159027099609E-5</v>
      </c>
      <c r="I36" s="3">
        <v>71.0</v>
      </c>
      <c r="J36" s="3">
        <v>0.00762057304382324</v>
      </c>
      <c r="K36" s="3">
        <v>7.58171081542969E-5</v>
      </c>
      <c r="L36" s="3">
        <v>0.010834</v>
      </c>
      <c r="M36" s="3">
        <v>0.011419</v>
      </c>
      <c r="N36" s="3">
        <v>0.0</v>
      </c>
    </row>
    <row r="37" ht="22.5" customHeight="1">
      <c r="A37" s="2" t="s">
        <v>21</v>
      </c>
      <c r="B37" s="3">
        <v>100.0</v>
      </c>
      <c r="C37" s="3">
        <v>1.0</v>
      </c>
      <c r="D37" s="3">
        <v>3.65778470039368</v>
      </c>
      <c r="E37" s="3">
        <v>0.0317357778549194</v>
      </c>
      <c r="F37" s="3">
        <v>451.0</v>
      </c>
      <c r="G37" s="3">
        <v>0.0839941501617432</v>
      </c>
      <c r="H37" s="3">
        <v>8.33988189697266E-4</v>
      </c>
      <c r="I37" s="3">
        <v>256.0</v>
      </c>
      <c r="J37" s="3">
        <v>0.00443434715270996</v>
      </c>
      <c r="K37" s="3">
        <v>4.10079956054688E-5</v>
      </c>
      <c r="L37" s="3">
        <v>0.02156</v>
      </c>
      <c r="M37" s="3">
        <v>0.023314</v>
      </c>
      <c r="N37" s="3">
        <v>0.0</v>
      </c>
    </row>
    <row r="38" ht="22.5" customHeight="1">
      <c r="A38" s="2" t="s">
        <v>21</v>
      </c>
      <c r="B38" s="3">
        <v>100.0</v>
      </c>
      <c r="C38" s="3">
        <v>2.0</v>
      </c>
      <c r="D38" s="3">
        <v>4.19437742233276</v>
      </c>
      <c r="E38" s="3">
        <v>0.0355581045150757</v>
      </c>
      <c r="F38" s="3">
        <v>451.0</v>
      </c>
      <c r="G38" s="3">
        <v>0.0842974185943604</v>
      </c>
      <c r="H38" s="3">
        <v>8.34465026855469E-4</v>
      </c>
      <c r="I38" s="3">
        <v>256.0</v>
      </c>
      <c r="J38" s="3">
        <v>0.00427317619323731</v>
      </c>
      <c r="K38" s="3">
        <v>4.05311584472656E-5</v>
      </c>
      <c r="L38" s="3">
        <v>0.012942</v>
      </c>
      <c r="M38" s="3">
        <v>0.014696</v>
      </c>
      <c r="N38" s="3">
        <v>0.0</v>
      </c>
    </row>
    <row r="39" ht="22.5" customHeight="1">
      <c r="A39" s="2" t="s">
        <v>21</v>
      </c>
      <c r="B39" s="3">
        <v>100.0</v>
      </c>
      <c r="C39" s="3">
        <v>3.0</v>
      </c>
      <c r="D39" s="3">
        <v>4.21283650398254</v>
      </c>
      <c r="E39" s="3">
        <v>0.037317156791687</v>
      </c>
      <c r="F39" s="3">
        <v>451.0</v>
      </c>
      <c r="G39" s="3">
        <v>0.0856342315673828</v>
      </c>
      <c r="H39" s="3">
        <v>8.34941864013672E-4</v>
      </c>
      <c r="I39" s="3">
        <v>256.0</v>
      </c>
      <c r="J39" s="3">
        <v>0.00445652008056641</v>
      </c>
      <c r="K39" s="3">
        <v>4.05311584472656E-5</v>
      </c>
      <c r="L39" s="3">
        <v>0.01323</v>
      </c>
      <c r="M39" s="3">
        <v>0.014984</v>
      </c>
      <c r="N39" s="3">
        <v>0.0</v>
      </c>
    </row>
    <row r="40" ht="22.5" customHeight="1">
      <c r="A40" s="2" t="s">
        <v>21</v>
      </c>
      <c r="B40" s="3">
        <v>100.0</v>
      </c>
      <c r="C40" s="3">
        <v>4.0</v>
      </c>
      <c r="D40" s="3">
        <v>3.51555824279785</v>
      </c>
      <c r="E40" s="3">
        <v>0.0289403200149536</v>
      </c>
      <c r="F40" s="3">
        <v>451.0</v>
      </c>
      <c r="G40" s="3">
        <v>0.0853734016418457</v>
      </c>
      <c r="H40" s="3">
        <v>8.36372375488281E-4</v>
      </c>
      <c r="I40" s="3">
        <v>256.0</v>
      </c>
      <c r="J40" s="3">
        <v>0.0042569637298584</v>
      </c>
      <c r="K40" s="3">
        <v>4.05311584472656E-5</v>
      </c>
      <c r="L40" s="3">
        <v>0.011026</v>
      </c>
      <c r="M40" s="3">
        <v>0.01278</v>
      </c>
      <c r="N40" s="3">
        <v>0.0</v>
      </c>
    </row>
    <row r="41" ht="22.5" customHeight="1">
      <c r="A41" s="2" t="s">
        <v>21</v>
      </c>
      <c r="B41" s="3">
        <v>100.0</v>
      </c>
      <c r="C41" s="3">
        <v>5.0</v>
      </c>
      <c r="D41" s="3">
        <v>4.1169159412384</v>
      </c>
      <c r="E41" s="3">
        <v>0.033439040184021</v>
      </c>
      <c r="F41" s="3">
        <v>451.0</v>
      </c>
      <c r="G41" s="3">
        <v>0.0853104591369629</v>
      </c>
      <c r="H41" s="3">
        <v>8.42571258544922E-4</v>
      </c>
      <c r="I41" s="3">
        <v>256.0</v>
      </c>
      <c r="J41" s="3">
        <v>0.00444984436035156</v>
      </c>
      <c r="K41" s="3">
        <v>4.18424606323242E-5</v>
      </c>
      <c r="L41" s="3">
        <v>0.015246</v>
      </c>
      <c r="M41" s="3">
        <v>0.017</v>
      </c>
      <c r="N41" s="3">
        <v>0.0</v>
      </c>
    </row>
    <row r="42" ht="22.5" customHeight="1">
      <c r="A42" s="2" t="s">
        <v>22</v>
      </c>
      <c r="B42" s="3">
        <v>100.0</v>
      </c>
      <c r="C42" s="3">
        <v>1.0</v>
      </c>
      <c r="D42" s="3">
        <v>0.0067589282989502</v>
      </c>
      <c r="E42" s="3">
        <v>6.63995742797852E-5</v>
      </c>
      <c r="F42" s="3">
        <v>1312.0</v>
      </c>
      <c r="G42" s="3">
        <v>0.0181219577789307</v>
      </c>
      <c r="H42" s="3">
        <v>1.4805793762207E-4</v>
      </c>
      <c r="I42" s="3">
        <v>2420.0</v>
      </c>
      <c r="J42" s="3">
        <v>0.00692343711853027</v>
      </c>
      <c r="K42" s="3">
        <v>6.74724578857422E-5</v>
      </c>
      <c r="L42" s="3">
        <v>0.031714</v>
      </c>
      <c r="M42" s="3">
        <v>0.03708</v>
      </c>
      <c r="N42" s="3">
        <v>0.0</v>
      </c>
    </row>
    <row r="43" ht="22.5" customHeight="1">
      <c r="A43" s="2" t="s">
        <v>22</v>
      </c>
      <c r="B43" s="3">
        <v>100.0</v>
      </c>
      <c r="C43" s="3">
        <v>2.0</v>
      </c>
      <c r="D43" s="3">
        <v>0.00665450096130371</v>
      </c>
      <c r="E43" s="3">
        <v>6.62803649902344E-5</v>
      </c>
      <c r="F43" s="3">
        <v>1312.0</v>
      </c>
      <c r="G43" s="3">
        <v>0.0187795162200928</v>
      </c>
      <c r="H43" s="3">
        <v>1.58071517944336E-4</v>
      </c>
      <c r="I43" s="3">
        <v>2420.0</v>
      </c>
      <c r="J43" s="3">
        <v>0.00680208206176758</v>
      </c>
      <c r="K43" s="3">
        <v>6.74724578857422E-5</v>
      </c>
      <c r="L43" s="3">
        <v>0.017979</v>
      </c>
      <c r="M43" s="3">
        <v>0.023345</v>
      </c>
      <c r="N43" s="3">
        <v>0.0</v>
      </c>
    </row>
    <row r="44" ht="22.5" customHeight="1">
      <c r="A44" s="2" t="s">
        <v>22</v>
      </c>
      <c r="B44" s="3">
        <v>100.0</v>
      </c>
      <c r="C44" s="3">
        <v>3.0</v>
      </c>
      <c r="D44" s="3">
        <v>0.00667047500610352</v>
      </c>
      <c r="E44" s="3">
        <v>6.62803649902344E-5</v>
      </c>
      <c r="F44" s="3">
        <v>1312.0</v>
      </c>
      <c r="G44" s="3">
        <v>0.0182714462280273</v>
      </c>
      <c r="H44" s="3">
        <v>1.53183937072754E-4</v>
      </c>
      <c r="I44" s="3">
        <v>2420.0</v>
      </c>
      <c r="J44" s="3">
        <v>0.00678515434265137</v>
      </c>
      <c r="K44" s="3">
        <v>6.74724578857422E-5</v>
      </c>
      <c r="L44" s="3">
        <v>0.018267</v>
      </c>
      <c r="M44" s="3">
        <v>0.023633</v>
      </c>
      <c r="N44" s="3">
        <v>0.0</v>
      </c>
    </row>
    <row r="45" ht="22.5" customHeight="1">
      <c r="A45" s="2" t="s">
        <v>22</v>
      </c>
      <c r="B45" s="3">
        <v>100.0</v>
      </c>
      <c r="C45" s="3">
        <v>4.0</v>
      </c>
      <c r="D45" s="3">
        <v>0.00667047500610352</v>
      </c>
      <c r="E45" s="3">
        <v>6.62803649902344E-5</v>
      </c>
      <c r="F45" s="3">
        <v>1312.0</v>
      </c>
      <c r="G45" s="3">
        <v>0.0193080902099609</v>
      </c>
      <c r="H45" s="3">
        <v>1.71780586242676E-4</v>
      </c>
      <c r="I45" s="3">
        <v>2420.0</v>
      </c>
      <c r="J45" s="3">
        <v>0.00684237480163574</v>
      </c>
      <c r="K45" s="3">
        <v>6.74724578857422E-5</v>
      </c>
      <c r="L45" s="3">
        <v>0.018427</v>
      </c>
      <c r="M45" s="3">
        <v>0.023793</v>
      </c>
      <c r="N45" s="3">
        <v>0.0</v>
      </c>
    </row>
    <row r="46" ht="22.5" customHeight="1">
      <c r="A46" s="2" t="s">
        <v>22</v>
      </c>
      <c r="B46" s="3">
        <v>100.0</v>
      </c>
      <c r="C46" s="3">
        <v>5.0</v>
      </c>
      <c r="D46" s="3">
        <v>0.00666093826293945</v>
      </c>
      <c r="E46" s="3">
        <v>6.62803649902344E-5</v>
      </c>
      <c r="F46" s="3">
        <v>1312.0</v>
      </c>
      <c r="G46" s="3">
        <v>0.0195472240447998</v>
      </c>
      <c r="H46" s="3">
        <v>1.51515007019043E-4</v>
      </c>
      <c r="I46" s="3">
        <v>2420.0</v>
      </c>
      <c r="J46" s="3">
        <v>0.00682353973388672</v>
      </c>
      <c r="K46" s="3">
        <v>6.74724578857422E-5</v>
      </c>
      <c r="L46" s="3">
        <v>0.018619</v>
      </c>
      <c r="M46" s="3">
        <v>0.023985</v>
      </c>
      <c r="N46" s="3">
        <v>0.0</v>
      </c>
    </row>
    <row r="47" ht="22.5" customHeight="1">
      <c r="A47" s="2" t="s">
        <v>23</v>
      </c>
      <c r="B47" s="3">
        <v>100.0</v>
      </c>
      <c r="C47" s="3">
        <v>1.0</v>
      </c>
      <c r="D47" s="3">
        <v>0.0197210311889648</v>
      </c>
      <c r="E47" s="3">
        <v>1.79529190063477E-4</v>
      </c>
      <c r="F47" s="3">
        <v>1952.0</v>
      </c>
      <c r="G47" s="3">
        <v>0.0438241958618164</v>
      </c>
      <c r="H47" s="3">
        <v>3.82542610168457E-4</v>
      </c>
      <c r="I47" s="3">
        <v>3293.0</v>
      </c>
      <c r="J47" s="3">
        <v>0.0177977085113525</v>
      </c>
      <c r="K47" s="3">
        <v>1.62482261657715E-4</v>
      </c>
      <c r="L47" s="3">
        <v>0.030859</v>
      </c>
      <c r="M47" s="3">
        <v>0.036115</v>
      </c>
      <c r="N47" s="3">
        <v>0.0</v>
      </c>
    </row>
    <row r="48" ht="22.5" customHeight="1">
      <c r="A48" s="2" t="s">
        <v>23</v>
      </c>
      <c r="B48" s="3">
        <v>100.0</v>
      </c>
      <c r="C48" s="3">
        <v>2.0</v>
      </c>
      <c r="D48" s="3">
        <v>0.0125458240509033</v>
      </c>
      <c r="E48" s="3">
        <v>1.23023986816406E-4</v>
      </c>
      <c r="F48" s="3">
        <v>1952.0</v>
      </c>
      <c r="G48" s="3">
        <v>0.0300018787384033</v>
      </c>
      <c r="H48" s="3">
        <v>2.56061553955078E-4</v>
      </c>
      <c r="I48" s="3">
        <v>3293.0</v>
      </c>
      <c r="J48" s="3">
        <v>0.0112688541412354</v>
      </c>
      <c r="K48" s="3">
        <v>1.10864639282227E-4</v>
      </c>
      <c r="L48" s="3">
        <v>0.0217</v>
      </c>
      <c r="M48" s="3">
        <v>0.028812</v>
      </c>
      <c r="N48" s="3">
        <v>0.0</v>
      </c>
    </row>
    <row r="49" ht="22.5" customHeight="1">
      <c r="A49" s="2" t="s">
        <v>23</v>
      </c>
      <c r="B49" s="3">
        <v>100.0</v>
      </c>
      <c r="C49" s="3">
        <v>3.0</v>
      </c>
      <c r="D49" s="3">
        <v>0.0123724937438965</v>
      </c>
      <c r="E49" s="3">
        <v>1.22785568237305E-4</v>
      </c>
      <c r="F49" s="3">
        <v>1952.0</v>
      </c>
      <c r="G49" s="3">
        <v>0.0302109718322754</v>
      </c>
      <c r="H49" s="3">
        <v>2.55823135375977E-4</v>
      </c>
      <c r="I49" s="3">
        <v>3293.0</v>
      </c>
      <c r="J49" s="3">
        <v>0.0111556053161621</v>
      </c>
      <c r="K49" s="3">
        <v>1.10626220703125E-4</v>
      </c>
      <c r="L49" s="3">
        <v>0.023844</v>
      </c>
      <c r="M49" s="3">
        <v>0.030956</v>
      </c>
      <c r="N49" s="3">
        <v>0.0</v>
      </c>
    </row>
    <row r="50" ht="22.5" customHeight="1">
      <c r="A50" s="2" t="s">
        <v>23</v>
      </c>
      <c r="B50" s="3">
        <v>100.0</v>
      </c>
      <c r="C50" s="3">
        <v>4.0</v>
      </c>
      <c r="D50" s="3">
        <v>0.0127482414245605</v>
      </c>
      <c r="E50" s="3">
        <v>1.22785568237305E-4</v>
      </c>
      <c r="F50" s="3">
        <v>1952.0</v>
      </c>
      <c r="G50" s="3">
        <v>0.0282754898071289</v>
      </c>
      <c r="H50" s="3">
        <v>2.48908996582031E-4</v>
      </c>
      <c r="I50" s="3">
        <v>3293.0</v>
      </c>
      <c r="J50" s="3">
        <v>0.0116512775421143</v>
      </c>
      <c r="K50" s="3">
        <v>1.10626220703125E-4</v>
      </c>
      <c r="L50" s="3">
        <v>0.021218</v>
      </c>
      <c r="M50" s="3">
        <v>0.02833</v>
      </c>
      <c r="N50" s="3">
        <v>0.0</v>
      </c>
    </row>
    <row r="51" ht="22.5" customHeight="1">
      <c r="A51" s="2" t="s">
        <v>23</v>
      </c>
      <c r="B51" s="3">
        <v>100.0</v>
      </c>
      <c r="C51" s="3">
        <v>5.0</v>
      </c>
      <c r="D51" s="3">
        <v>0.0128560066223145</v>
      </c>
      <c r="E51" s="3">
        <v>1.23500823974609E-4</v>
      </c>
      <c r="F51" s="3">
        <v>1952.0</v>
      </c>
      <c r="G51" s="3">
        <v>0.0322685241699219</v>
      </c>
      <c r="H51" s="3">
        <v>2.51054763793945E-4</v>
      </c>
      <c r="I51" s="3">
        <v>3293.0</v>
      </c>
      <c r="J51" s="3">
        <v>0.011638879776001</v>
      </c>
      <c r="K51" s="3">
        <v>1.10864639282227E-4</v>
      </c>
      <c r="L51" s="3">
        <v>0.024602</v>
      </c>
      <c r="M51" s="3">
        <v>0.031714</v>
      </c>
      <c r="N51" s="3">
        <v>0.0</v>
      </c>
    </row>
    <row r="52" ht="22.5" customHeight="1">
      <c r="A52" s="2" t="s">
        <v>24</v>
      </c>
      <c r="B52" s="3">
        <v>100.0</v>
      </c>
      <c r="C52" s="3">
        <v>1.0</v>
      </c>
      <c r="D52" s="3">
        <v>0.0253560543060303</v>
      </c>
      <c r="E52" s="3">
        <v>2.27689743041992E-4</v>
      </c>
      <c r="F52" s="3">
        <v>2592.0</v>
      </c>
      <c r="G52" s="3">
        <v>0.0513186454772949</v>
      </c>
      <c r="H52" s="3">
        <v>4.10318374633789E-4</v>
      </c>
      <c r="I52" s="3">
        <v>4595.0</v>
      </c>
      <c r="J52" s="3">
        <v>0.0251748561859131</v>
      </c>
      <c r="K52" s="3">
        <v>2.22563743591309E-4</v>
      </c>
      <c r="L52" s="3">
        <v>0.033337</v>
      </c>
      <c r="M52" s="3">
        <v>0.043053</v>
      </c>
      <c r="N52" s="3">
        <v>0.0</v>
      </c>
    </row>
    <row r="53" ht="22.5" customHeight="1">
      <c r="A53" s="2" t="s">
        <v>24</v>
      </c>
      <c r="B53" s="3">
        <v>100.0</v>
      </c>
      <c r="C53" s="3">
        <v>2.0</v>
      </c>
      <c r="D53" s="3">
        <v>0.0186104774475098</v>
      </c>
      <c r="E53" s="3">
        <v>1.85489654541016E-4</v>
      </c>
      <c r="F53" s="3">
        <v>2592.0</v>
      </c>
      <c r="G53" s="3">
        <v>0.040553092956543</v>
      </c>
      <c r="H53" s="3">
        <v>3.47733497619629E-4</v>
      </c>
      <c r="I53" s="3">
        <v>4595.0</v>
      </c>
      <c r="J53" s="3">
        <v>0.0188102722167969</v>
      </c>
      <c r="K53" s="3">
        <v>1.8620491027832E-4</v>
      </c>
      <c r="L53" s="3">
        <v>0.026234</v>
      </c>
      <c r="M53" s="3">
        <v>0.03595</v>
      </c>
      <c r="N53" s="3">
        <v>0.0</v>
      </c>
    </row>
    <row r="54" ht="22.5" customHeight="1">
      <c r="A54" s="2" t="s">
        <v>24</v>
      </c>
      <c r="B54" s="3">
        <v>100.0</v>
      </c>
      <c r="C54" s="3">
        <v>3.0</v>
      </c>
      <c r="D54" s="3">
        <v>0.0187098979949951</v>
      </c>
      <c r="E54" s="3">
        <v>1.85370445251465E-4</v>
      </c>
      <c r="F54" s="3">
        <v>2592.0</v>
      </c>
      <c r="G54" s="3">
        <v>0.0392069816589356</v>
      </c>
      <c r="H54" s="3">
        <v>3.4332275390625E-4</v>
      </c>
      <c r="I54" s="3">
        <v>4595.0</v>
      </c>
      <c r="J54" s="3">
        <v>0.0188603401184082</v>
      </c>
      <c r="K54" s="3">
        <v>1.8620491027832E-4</v>
      </c>
      <c r="L54" s="3">
        <v>0.026394</v>
      </c>
      <c r="M54" s="3">
        <v>0.03611</v>
      </c>
      <c r="N54" s="3">
        <v>0.0</v>
      </c>
    </row>
    <row r="55" ht="22.5" customHeight="1">
      <c r="A55" s="2" t="s">
        <v>24</v>
      </c>
      <c r="B55" s="3">
        <v>100.0</v>
      </c>
      <c r="C55" s="3">
        <v>4.0</v>
      </c>
      <c r="D55" s="3">
        <v>0.0186812877655029</v>
      </c>
      <c r="E55" s="3">
        <v>1.85489654541016E-4</v>
      </c>
      <c r="F55" s="3">
        <v>2592.0</v>
      </c>
      <c r="G55" s="3">
        <v>0.0343549251556397</v>
      </c>
      <c r="H55" s="3">
        <v>2.91109085083008E-4</v>
      </c>
      <c r="I55" s="3">
        <v>4595.0</v>
      </c>
      <c r="J55" s="3">
        <v>0.018768310546875</v>
      </c>
      <c r="K55" s="3">
        <v>1.8620491027832E-4</v>
      </c>
      <c r="L55" s="3">
        <v>0.026554</v>
      </c>
      <c r="M55" s="3">
        <v>0.03627</v>
      </c>
      <c r="N55" s="3">
        <v>0.0</v>
      </c>
    </row>
    <row r="56" ht="22.5" customHeight="1">
      <c r="A56" s="2" t="s">
        <v>24</v>
      </c>
      <c r="B56" s="3">
        <v>100.0</v>
      </c>
      <c r="C56" s="3">
        <v>5.0</v>
      </c>
      <c r="D56" s="3">
        <v>0.0186893939971924</v>
      </c>
      <c r="E56" s="3">
        <v>1.85489654541016E-4</v>
      </c>
      <c r="F56" s="3">
        <v>2592.0</v>
      </c>
      <c r="G56" s="3">
        <v>0.0407612323760986</v>
      </c>
      <c r="H56" s="3">
        <v>3.42607498168945E-4</v>
      </c>
      <c r="I56" s="3">
        <v>4595.0</v>
      </c>
      <c r="J56" s="3">
        <v>0.0187866687774658</v>
      </c>
      <c r="K56" s="3">
        <v>1.8620491027832E-4</v>
      </c>
      <c r="L56" s="3">
        <v>0.026746</v>
      </c>
      <c r="M56" s="3">
        <v>0.036462</v>
      </c>
      <c r="N56" s="3">
        <v>0.0</v>
      </c>
    </row>
    <row r="57" ht="22.5" customHeight="1">
      <c r="A57" s="2" t="s">
        <v>25</v>
      </c>
      <c r="B57" s="3">
        <v>100.0</v>
      </c>
      <c r="C57" s="3">
        <v>1.0</v>
      </c>
      <c r="D57" s="3">
        <v>4.93114447593689</v>
      </c>
      <c r="E57" s="3">
        <v>0.0490912199020386</v>
      </c>
      <c r="F57" s="3">
        <v>32.0</v>
      </c>
      <c r="G57" s="3">
        <v>37.5898039340973</v>
      </c>
      <c r="H57" s="3">
        <v>0.375736474990845</v>
      </c>
      <c r="I57" s="3">
        <v>7856.0</v>
      </c>
      <c r="J57" s="3">
        <v>0.0396230220794678</v>
      </c>
      <c r="K57" s="3">
        <v>3.94225120544434E-4</v>
      </c>
      <c r="L57" s="3">
        <v>0.020852</v>
      </c>
      <c r="M57" s="3">
        <v>0.03709</v>
      </c>
      <c r="N57" s="3">
        <v>0.0</v>
      </c>
    </row>
    <row r="58" ht="22.5" customHeight="1">
      <c r="A58" s="2" t="s">
        <v>25</v>
      </c>
      <c r="B58" s="3">
        <v>100.0</v>
      </c>
      <c r="C58" s="3">
        <v>2.0</v>
      </c>
      <c r="D58" s="3">
        <v>4.96409702301025</v>
      </c>
      <c r="E58" s="3">
        <v>0.049615740776062</v>
      </c>
      <c r="F58" s="3">
        <v>32.0</v>
      </c>
      <c r="G58" s="3">
        <v>37.965646982193</v>
      </c>
      <c r="H58" s="3">
        <v>0.379401803016663</v>
      </c>
      <c r="I58" s="3">
        <v>7856.0</v>
      </c>
      <c r="J58" s="3">
        <v>0.0396039485931397</v>
      </c>
      <c r="K58" s="3">
        <v>3.94105911254883E-4</v>
      </c>
      <c r="L58" s="3">
        <v>0.018615</v>
      </c>
      <c r="M58" s="3">
        <v>0.034853</v>
      </c>
      <c r="N58" s="3">
        <v>0.0</v>
      </c>
    </row>
    <row r="59" ht="22.5" customHeight="1">
      <c r="A59" s="2" t="s">
        <v>25</v>
      </c>
      <c r="B59" s="3">
        <v>100.0</v>
      </c>
      <c r="C59" s="3">
        <v>3.0</v>
      </c>
      <c r="D59" s="3">
        <v>5.00189757347107</v>
      </c>
      <c r="E59" s="3">
        <v>0.049666166305542</v>
      </c>
      <c r="F59" s="3">
        <v>32.0</v>
      </c>
      <c r="G59" s="3">
        <v>38.0353305339813</v>
      </c>
      <c r="H59" s="3">
        <v>0.379530906677246</v>
      </c>
      <c r="I59" s="3">
        <v>7856.0</v>
      </c>
      <c r="J59" s="3">
        <v>0.0399150848388672</v>
      </c>
      <c r="K59" s="3">
        <v>3.97443771362305E-4</v>
      </c>
      <c r="L59" s="3">
        <v>0.016471</v>
      </c>
      <c r="M59" s="3">
        <v>0.032709</v>
      </c>
      <c r="N59" s="3">
        <v>0.0</v>
      </c>
    </row>
    <row r="60" ht="22.5" customHeight="1">
      <c r="A60" s="2" t="s">
        <v>25</v>
      </c>
      <c r="B60" s="3">
        <v>100.0</v>
      </c>
      <c r="C60" s="3">
        <v>4.0</v>
      </c>
      <c r="D60" s="3">
        <v>5.06131672859192</v>
      </c>
      <c r="E60" s="3">
        <v>0.0497326850891113</v>
      </c>
      <c r="F60" s="3">
        <v>32.0</v>
      </c>
      <c r="G60" s="3">
        <v>38.2360808849335</v>
      </c>
      <c r="H60" s="3">
        <v>0.380113005638123</v>
      </c>
      <c r="I60" s="3">
        <v>7856.0</v>
      </c>
      <c r="J60" s="3">
        <v>0.0405340194702148</v>
      </c>
      <c r="K60" s="3">
        <v>4.04834747314453E-4</v>
      </c>
      <c r="L60" s="3">
        <v>0.016663</v>
      </c>
      <c r="M60" s="3">
        <v>0.032901</v>
      </c>
      <c r="N60" s="3">
        <v>0.0</v>
      </c>
    </row>
    <row r="61" ht="22.5" customHeight="1">
      <c r="A61" s="2" t="s">
        <v>25</v>
      </c>
      <c r="B61" s="3">
        <v>100.0</v>
      </c>
      <c r="C61" s="3">
        <v>5.0</v>
      </c>
      <c r="D61" s="3">
        <v>4.99219512939453</v>
      </c>
      <c r="E61" s="3">
        <v>0.0496935844421387</v>
      </c>
      <c r="F61" s="3">
        <v>32.0</v>
      </c>
      <c r="G61" s="3">
        <v>38.0059554576874</v>
      </c>
      <c r="H61" s="3">
        <v>0.379462957382202</v>
      </c>
      <c r="I61" s="3">
        <v>7856.0</v>
      </c>
      <c r="J61" s="3">
        <v>0.039966344833374</v>
      </c>
      <c r="K61" s="3">
        <v>3.95298004150391E-4</v>
      </c>
      <c r="L61" s="3">
        <v>0.016887</v>
      </c>
      <c r="M61" s="3">
        <v>0.033125</v>
      </c>
      <c r="N61" s="3">
        <v>0.0</v>
      </c>
    </row>
    <row r="62" ht="22.5" customHeight="1">
      <c r="A62" s="2" t="s">
        <v>26</v>
      </c>
      <c r="B62" s="3">
        <v>100.0</v>
      </c>
      <c r="C62" s="3">
        <v>1.0</v>
      </c>
      <c r="D62" s="3">
        <v>7.93144583702087</v>
      </c>
      <c r="E62" s="3">
        <v>0.0827072858810425</v>
      </c>
      <c r="F62" s="3">
        <v>48.0</v>
      </c>
      <c r="G62" s="3">
        <v>75.2787408828735</v>
      </c>
      <c r="H62" s="3">
        <v>0.782787084579468</v>
      </c>
      <c r="I62" s="3">
        <v>16224.0</v>
      </c>
      <c r="J62" s="3">
        <v>0.0662908554077148</v>
      </c>
      <c r="K62" s="3">
        <v>6.67691230773926E-4</v>
      </c>
      <c r="L62" s="3">
        <v>0.032899</v>
      </c>
      <c r="M62" s="3">
        <v>0.065873</v>
      </c>
      <c r="N62" s="3">
        <v>0.0</v>
      </c>
    </row>
    <row r="63" ht="22.5" customHeight="1">
      <c r="A63" s="2" t="s">
        <v>26</v>
      </c>
      <c r="B63" s="3">
        <v>100.0</v>
      </c>
      <c r="C63" s="3">
        <v>2.0</v>
      </c>
      <c r="D63" s="3">
        <v>8.32480502128601</v>
      </c>
      <c r="E63" s="3">
        <v>0.0829596519470215</v>
      </c>
      <c r="F63" s="3">
        <v>48.0</v>
      </c>
      <c r="G63" s="3">
        <v>78.5190007686615</v>
      </c>
      <c r="H63" s="3">
        <v>0.784010648727417</v>
      </c>
      <c r="I63" s="3">
        <v>16224.0</v>
      </c>
      <c r="J63" s="3">
        <v>0.0690915584564209</v>
      </c>
      <c r="K63" s="3">
        <v>6.8819522857666E-4</v>
      </c>
      <c r="L63" s="3">
        <v>0.025943</v>
      </c>
      <c r="M63" s="3">
        <v>0.058917</v>
      </c>
      <c r="N63" s="3">
        <v>0.0</v>
      </c>
    </row>
    <row r="64" ht="22.5" customHeight="1">
      <c r="A64" s="2" t="s">
        <v>26</v>
      </c>
      <c r="B64" s="3">
        <v>100.0</v>
      </c>
      <c r="C64" s="3">
        <v>3.0</v>
      </c>
      <c r="D64" s="3">
        <v>8.32225465774536</v>
      </c>
      <c r="E64" s="3">
        <v>0.0829213857650757</v>
      </c>
      <c r="F64" s="3">
        <v>48.0</v>
      </c>
      <c r="G64" s="3">
        <v>78.6947395801544</v>
      </c>
      <c r="H64" s="3">
        <v>0.785044312477112</v>
      </c>
      <c r="I64" s="3">
        <v>16224.0</v>
      </c>
      <c r="J64" s="3">
        <v>0.0691962242126465</v>
      </c>
      <c r="K64" s="3">
        <v>6.89148902893066E-4</v>
      </c>
      <c r="L64" s="3">
        <v>0.026103</v>
      </c>
      <c r="M64" s="3">
        <v>0.059077</v>
      </c>
      <c r="N64" s="3">
        <v>0.0</v>
      </c>
    </row>
    <row r="65" ht="22.5" customHeight="1">
      <c r="A65" s="2" t="s">
        <v>26</v>
      </c>
      <c r="B65" s="3">
        <v>100.0</v>
      </c>
      <c r="C65" s="3">
        <v>4.0</v>
      </c>
      <c r="D65" s="3">
        <v>8.31709337234497</v>
      </c>
      <c r="E65" s="3">
        <v>0.0829864740371704</v>
      </c>
      <c r="F65" s="3">
        <v>48.0</v>
      </c>
      <c r="G65" s="3">
        <v>78.5740637779236</v>
      </c>
      <c r="H65" s="3">
        <v>0.784813046455383</v>
      </c>
      <c r="I65" s="3">
        <v>16224.0</v>
      </c>
      <c r="J65" s="3">
        <v>0.0694780349731445</v>
      </c>
      <c r="K65" s="3">
        <v>6.94632530212402E-4</v>
      </c>
      <c r="L65" s="3">
        <v>0.026295</v>
      </c>
      <c r="M65" s="3">
        <v>0.059269</v>
      </c>
      <c r="N65" s="3">
        <v>0.0</v>
      </c>
    </row>
    <row r="66" ht="22.5" customHeight="1">
      <c r="A66" s="2" t="s">
        <v>26</v>
      </c>
      <c r="B66" s="3">
        <v>100.0</v>
      </c>
      <c r="C66" s="3">
        <v>5.0</v>
      </c>
      <c r="D66" s="3">
        <v>8.30790829658508</v>
      </c>
      <c r="E66" s="3">
        <v>0.0829423666000366</v>
      </c>
      <c r="F66" s="3">
        <v>48.0</v>
      </c>
      <c r="G66" s="3">
        <v>78.5380532741547</v>
      </c>
      <c r="H66" s="3">
        <v>0.78439199924469</v>
      </c>
      <c r="I66" s="3">
        <v>16224.0</v>
      </c>
      <c r="J66" s="3">
        <v>0.0689682960510254</v>
      </c>
      <c r="K66" s="3">
        <v>6.89506530761719E-4</v>
      </c>
      <c r="L66" s="3">
        <v>0.026519</v>
      </c>
      <c r="M66" s="3">
        <v>0.059493</v>
      </c>
      <c r="N66" s="3">
        <v>0.0</v>
      </c>
    </row>
    <row r="67" ht="22.5" customHeight="1">
      <c r="A67" s="2" t="s">
        <v>27</v>
      </c>
      <c r="B67" s="3">
        <v>100.0</v>
      </c>
      <c r="C67" s="3">
        <v>1.0</v>
      </c>
      <c r="D67" s="3">
        <v>5.63487482070923</v>
      </c>
      <c r="E67" s="3">
        <v>0.0563324689865112</v>
      </c>
      <c r="F67" s="3">
        <v>64.0</v>
      </c>
      <c r="G67" s="3">
        <v>72.0599775314331</v>
      </c>
      <c r="H67" s="3">
        <v>0.719962239265442</v>
      </c>
      <c r="I67" s="3">
        <v>29792.0</v>
      </c>
      <c r="J67" s="3">
        <v>0.101624727249146</v>
      </c>
      <c r="K67" s="3">
        <v>0.00101327896118164</v>
      </c>
      <c r="L67" s="3">
        <v>0.043417</v>
      </c>
      <c r="M67" s="3">
        <v>0.103527</v>
      </c>
      <c r="N67" s="3">
        <v>0.0</v>
      </c>
    </row>
    <row r="68" ht="22.5" customHeight="1">
      <c r="A68" s="2" t="s">
        <v>27</v>
      </c>
      <c r="B68" s="3">
        <v>100.0</v>
      </c>
      <c r="C68" s="3">
        <v>2.0</v>
      </c>
      <c r="D68" s="3">
        <v>5.66135430335999</v>
      </c>
      <c r="E68" s="3">
        <v>0.056338906288147</v>
      </c>
      <c r="F68" s="3">
        <v>64.0</v>
      </c>
      <c r="G68" s="3">
        <v>72.2565269470215</v>
      </c>
      <c r="H68" s="3">
        <v>0.72108793258667</v>
      </c>
      <c r="I68" s="3">
        <v>29792.0</v>
      </c>
      <c r="J68" s="3">
        <v>0.101370334625244</v>
      </c>
      <c r="K68" s="3">
        <v>0.00101172924041748</v>
      </c>
      <c r="L68" s="3">
        <v>0.040711</v>
      </c>
      <c r="M68" s="3">
        <v>0.100821</v>
      </c>
      <c r="N68" s="3">
        <v>0.0</v>
      </c>
    </row>
    <row r="69" ht="22.5" customHeight="1">
      <c r="A69" s="2" t="s">
        <v>27</v>
      </c>
      <c r="B69" s="3">
        <v>100.0</v>
      </c>
      <c r="C69" s="3">
        <v>3.0</v>
      </c>
      <c r="D69" s="3">
        <v>5.65818405151367</v>
      </c>
      <c r="E69" s="3">
        <v>0.0563408136367798</v>
      </c>
      <c r="F69" s="3">
        <v>64.0</v>
      </c>
      <c r="G69" s="3">
        <v>72.3345885276794</v>
      </c>
      <c r="H69" s="3">
        <v>0.72109067440033</v>
      </c>
      <c r="I69" s="3">
        <v>29792.0</v>
      </c>
      <c r="J69" s="3">
        <v>0.101517677307129</v>
      </c>
      <c r="K69" s="3">
        <v>0.00101077556610107</v>
      </c>
      <c r="L69" s="3">
        <v>0.038085</v>
      </c>
      <c r="M69" s="3">
        <v>0.098195</v>
      </c>
      <c r="N69" s="3">
        <v>0.0</v>
      </c>
    </row>
    <row r="70" ht="22.5" customHeight="1">
      <c r="A70" s="2" t="s">
        <v>27</v>
      </c>
      <c r="B70" s="3">
        <v>100.0</v>
      </c>
      <c r="C70" s="3">
        <v>4.0</v>
      </c>
      <c r="D70" s="3">
        <v>5.66343832015991</v>
      </c>
      <c r="E70" s="3">
        <v>0.0563584566116333</v>
      </c>
      <c r="F70" s="3">
        <v>64.0</v>
      </c>
      <c r="G70" s="3">
        <v>72.2223553657532</v>
      </c>
      <c r="H70" s="3">
        <v>0.721086978912354</v>
      </c>
      <c r="I70" s="3">
        <v>29792.0</v>
      </c>
      <c r="J70" s="3">
        <v>0.101688623428345</v>
      </c>
      <c r="K70" s="3">
        <v>0.00101673603057861</v>
      </c>
      <c r="L70" s="3">
        <v>0.038823</v>
      </c>
      <c r="M70" s="3">
        <v>0.098933</v>
      </c>
      <c r="N70" s="3">
        <v>0.0</v>
      </c>
    </row>
    <row r="71" ht="22.5" customHeight="1">
      <c r="A71" s="2" t="s">
        <v>27</v>
      </c>
      <c r="B71" s="3">
        <v>100.0</v>
      </c>
      <c r="C71" s="3">
        <v>5.0</v>
      </c>
      <c r="D71" s="3">
        <v>5.66824340820313</v>
      </c>
      <c r="E71" s="3">
        <v>0.0563693046569824</v>
      </c>
      <c r="F71" s="3">
        <v>64.0</v>
      </c>
      <c r="G71" s="3">
        <v>72.3195867538452</v>
      </c>
      <c r="H71" s="3">
        <v>0.721541404724121</v>
      </c>
      <c r="I71" s="3">
        <v>29792.0</v>
      </c>
      <c r="J71" s="3">
        <v>0.102195024490356</v>
      </c>
      <c r="K71" s="3">
        <v>0.0010141134262085</v>
      </c>
      <c r="L71" s="3">
        <v>0.039079</v>
      </c>
      <c r="M71" s="3">
        <v>0.099189</v>
      </c>
      <c r="N71" s="3">
        <v>0.0</v>
      </c>
    </row>
  </sheetData>
  <dataValidations>
    <dataValidation type="custom" allowBlank="1" showDropDown="1" sqref="B2:N7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2">
      <c r="A2" s="4" t="s">
        <v>28</v>
      </c>
    </row>
    <row r="3">
      <c r="A3" s="5" t="s">
        <v>29</v>
      </c>
      <c r="B3" s="6" t="s">
        <v>15</v>
      </c>
      <c r="C3" s="7"/>
      <c r="D3" s="6" t="s">
        <v>16</v>
      </c>
      <c r="E3" s="7"/>
      <c r="F3" s="6" t="s">
        <v>17</v>
      </c>
      <c r="G3" s="7"/>
      <c r="H3" s="6" t="s">
        <v>30</v>
      </c>
      <c r="I3" s="7"/>
      <c r="J3" s="6" t="s">
        <v>14</v>
      </c>
      <c r="K3" s="7"/>
      <c r="L3" s="6" t="s">
        <v>19</v>
      </c>
      <c r="M3" s="7"/>
    </row>
    <row r="4">
      <c r="A4" s="8"/>
      <c r="B4" s="9" t="s">
        <v>31</v>
      </c>
      <c r="C4" s="9" t="s">
        <v>32</v>
      </c>
      <c r="D4" s="9" t="s">
        <v>31</v>
      </c>
      <c r="E4" s="9" t="s">
        <v>32</v>
      </c>
      <c r="F4" s="9" t="s">
        <v>31</v>
      </c>
      <c r="G4" s="9" t="s">
        <v>32</v>
      </c>
      <c r="H4" s="9" t="s">
        <v>31</v>
      </c>
      <c r="I4" s="9" t="s">
        <v>32</v>
      </c>
      <c r="J4" s="9" t="s">
        <v>31</v>
      </c>
      <c r="K4" s="9" t="s">
        <v>32</v>
      </c>
      <c r="L4" s="9" t="s">
        <v>31</v>
      </c>
      <c r="M4" s="9" t="s">
        <v>32</v>
      </c>
    </row>
    <row r="5">
      <c r="A5" s="10" t="s">
        <v>33</v>
      </c>
      <c r="B5" s="11">
        <f>MIN(unconstrained!E7:E11)*1000</f>
        <v>0.02360343933</v>
      </c>
      <c r="C5" s="11">
        <f>MAX(unconstrained!E7:E11)*1000</f>
        <v>0.04899501801</v>
      </c>
      <c r="D5" s="11">
        <f>MIN(unconstrained!E12:E16)*1000</f>
        <v>0.02980232239</v>
      </c>
      <c r="E5" s="11">
        <f>MAX(unconstrained!E12:E16)*1000</f>
        <v>0.06902217865</v>
      </c>
      <c r="F5" s="11">
        <f>MIN(unconstrained!E17:E21)*1000</f>
        <v>0.03457069397</v>
      </c>
      <c r="G5" s="11">
        <f>MAX(unconstrained!E17:E21)*1000</f>
        <v>0.07581710815</v>
      </c>
      <c r="H5" s="11">
        <f>MIN(unconstrained!E22:E26)*1000</f>
        <v>0.236749649</v>
      </c>
      <c r="I5" s="11">
        <f>MAX(unconstrained!E22:E26)*1000</f>
        <v>0.2450942993</v>
      </c>
      <c r="J5" s="11">
        <f>MIN(unconstrained!E2:E6)*1000</f>
        <v>9.630918503</v>
      </c>
      <c r="K5" s="11">
        <f>MAX(unconstrained!E2:E6)*1000</f>
        <v>9.765386581</v>
      </c>
      <c r="L5" s="11">
        <f>MIN(unconstrained!E27:E31)*1000</f>
        <v>0.0422000885</v>
      </c>
      <c r="M5" s="11">
        <f>MAX(unconstrained!E27:E31)*1000</f>
        <v>0.04243850708</v>
      </c>
    </row>
    <row r="6">
      <c r="A6" s="10" t="s">
        <v>34</v>
      </c>
      <c r="B6" s="11">
        <f>MIN(unconstrained!G$7:G$11)*1000</f>
        <v>2.70485878</v>
      </c>
      <c r="C6" s="11">
        <f>MAX(unconstrained!G$7:G$11)*1000</f>
        <v>5.613327026</v>
      </c>
      <c r="D6" s="11">
        <f>MIN(unconstrained!G$12:G$16)*1000</f>
        <v>3.067731857</v>
      </c>
      <c r="E6" s="11">
        <f>MAX(unconstrained!G$12:G$16)*1000</f>
        <v>7.419109344</v>
      </c>
      <c r="F6" s="11">
        <f>MIN(unconstrained!G$17:G$21)*1000</f>
        <v>3.634929657</v>
      </c>
      <c r="G6" s="11">
        <f>MAX(unconstrained!G$17:G$21)*1000</f>
        <v>9.418725967</v>
      </c>
      <c r="H6" s="11">
        <f>MIN(unconstrained!G$22:G$26)*1000</f>
        <v>44.57759857</v>
      </c>
      <c r="I6" s="11">
        <f>MAX(unconstrained!G$22:G$26)*1000</f>
        <v>50.36950111</v>
      </c>
      <c r="J6" s="11">
        <f>MIN(unconstrained!G$2:G$6)*1000</f>
        <v>51.5332222</v>
      </c>
      <c r="K6" s="11">
        <f>MAX(unconstrained!G$2:G$6)*1000</f>
        <v>54.02994156</v>
      </c>
      <c r="L6" s="11">
        <f>MIN(unconstrained!G$27:G$31)*1000</f>
        <v>7.640361786</v>
      </c>
      <c r="M6" s="11">
        <f>MAX(unconstrained!G$27:G$31)*1000</f>
        <v>8.47697258</v>
      </c>
    </row>
    <row r="7">
      <c r="A7" s="10" t="s">
        <v>35</v>
      </c>
      <c r="B7" s="11">
        <f>MIN(unconstrained!J$7:J$11)*1000</f>
        <v>2.566814423</v>
      </c>
      <c r="C7" s="11">
        <f>MAX(unconstrained!J$7:J$11)*1000</f>
        <v>4.997491837</v>
      </c>
      <c r="D7" s="11">
        <f>MIN(unconstrained!J$12:J$16)*1000</f>
        <v>3.128767014</v>
      </c>
      <c r="E7" s="11">
        <f>MAX(unconstrained!J$12:J$16)*1000</f>
        <v>7.071256638</v>
      </c>
      <c r="F7" s="11">
        <f>MIN(unconstrained!J$17:J$21)*1000</f>
        <v>3.738641739</v>
      </c>
      <c r="G7" s="11">
        <f>MAX(unconstrained!J$17:J$21)*1000</f>
        <v>9.318113327</v>
      </c>
      <c r="H7" s="11">
        <f>MIN(unconstrained!J$22:J$26)*1000</f>
        <v>43.23220253</v>
      </c>
      <c r="I7" s="11">
        <f>MAX(unconstrained!J$22:J$26)*1000</f>
        <v>48.50816727</v>
      </c>
      <c r="J7" s="11">
        <f>MIN(unconstrained!J$2:J$6)*1000</f>
        <v>803.9209843</v>
      </c>
      <c r="K7" s="11">
        <f>MAX(unconstrained!J$2:J$6)*1000</f>
        <v>815.4838085</v>
      </c>
      <c r="L7" s="11">
        <f>MIN(unconstrained!J$27:J$31)*1000</f>
        <v>3.712654114</v>
      </c>
      <c r="M7" s="11">
        <f>MAX(unconstrained!J$27:J$31)*1000</f>
        <v>3.973007202</v>
      </c>
    </row>
    <row r="8">
      <c r="A8" s="10" t="s">
        <v>36</v>
      </c>
      <c r="B8" s="12">
        <f>unconstrained!F7</f>
        <v>800</v>
      </c>
      <c r="C8" s="7"/>
      <c r="D8" s="12">
        <f>unconstrained!F12</f>
        <v>1184</v>
      </c>
      <c r="E8" s="7"/>
      <c r="F8" s="12">
        <f>unconstrained!F17</f>
        <v>1568</v>
      </c>
      <c r="G8" s="7"/>
      <c r="H8" s="13">
        <f>unconstrained!F22</f>
        <v>9616</v>
      </c>
      <c r="I8" s="7"/>
      <c r="J8" s="12">
        <f>unconstrained!F2</f>
        <v>1541</v>
      </c>
      <c r="K8" s="7"/>
      <c r="L8" s="12">
        <f>unconstrained!F27</f>
        <v>32</v>
      </c>
      <c r="M8" s="7"/>
    </row>
    <row r="9">
      <c r="A9" s="10" t="s">
        <v>37</v>
      </c>
      <c r="B9" s="12">
        <f>unconstrained!I8</f>
        <v>768</v>
      </c>
      <c r="C9" s="7"/>
      <c r="D9" s="12">
        <f>unconstrained!I13</f>
        <v>1088</v>
      </c>
      <c r="E9" s="7"/>
      <c r="F9" s="12">
        <f>unconstrained!I18</f>
        <v>1568</v>
      </c>
      <c r="G9" s="7"/>
      <c r="H9" s="13">
        <f>unconstrained!I23</f>
        <v>9720</v>
      </c>
      <c r="I9" s="7"/>
      <c r="J9" s="12">
        <f>unconstrained!I3</f>
        <v>1573</v>
      </c>
      <c r="K9" s="7"/>
      <c r="L9" s="12">
        <f>unconstrained!I28</f>
        <v>32</v>
      </c>
      <c r="M9" s="7"/>
    </row>
    <row r="10">
      <c r="A10" s="10" t="s">
        <v>38</v>
      </c>
      <c r="B10" s="11">
        <f>MIN(unconstrained!M$7:M$11)*1024</f>
        <v>18.116608</v>
      </c>
      <c r="C10" s="11">
        <f>MAX(unconstrained!M$7:M$11)*1024</f>
        <v>28.602368</v>
      </c>
      <c r="D10" s="11">
        <f>MIN(unconstrained!M$12:M$16)*1024</f>
        <v>20.475904</v>
      </c>
      <c r="E10" s="11">
        <f>MAX(unconstrained!M$12:M$16)*1024</f>
        <v>28.879872</v>
      </c>
      <c r="F10" s="11">
        <f>MIN(unconstrained!M$17:M$21)*1024</f>
        <v>23.619584</v>
      </c>
      <c r="G10" s="11">
        <f>MAX(unconstrained!M$17:M$21)*1024</f>
        <v>28.676096</v>
      </c>
      <c r="H10" s="11">
        <f>MIN(unconstrained!M$22:M$26)*1024</f>
        <v>100.20864</v>
      </c>
      <c r="I10" s="11">
        <f>MAX(unconstrained!M$22:M$26)*1024</f>
        <v>110.017536</v>
      </c>
      <c r="J10" s="11">
        <f>MIN(unconstrained!M$2:M$6)*1024</f>
        <v>30.44352</v>
      </c>
      <c r="K10" s="11">
        <f>MAX(unconstrained!M$2:M$6)*1024</f>
        <v>44.312576</v>
      </c>
      <c r="L10" s="11">
        <f>MIN(unconstrained!M$27:M$31)*1024</f>
        <v>9.007104</v>
      </c>
      <c r="M10" s="11">
        <f>MAX(unconstrained!M$27:M$31)*1024</f>
        <v>293.515264</v>
      </c>
    </row>
    <row r="11">
      <c r="A11" s="10" t="s">
        <v>39</v>
      </c>
      <c r="B11" s="12">
        <f>SUM(unconstrained!B7:B11)/SUM(unconstrained!D7:D11)</f>
        <v>29106.89799</v>
      </c>
      <c r="C11" s="7"/>
      <c r="D11" s="12">
        <f>SUM(unconstrained!B12:B16)/SUM(unconstrained!D12:D16)</f>
        <v>23045.62637</v>
      </c>
      <c r="E11" s="7"/>
      <c r="F11" s="12">
        <f>SUM(unconstrained!B17:B21)/SUM(unconstrained!D17:D21)</f>
        <v>19341.95988</v>
      </c>
      <c r="G11" s="7"/>
      <c r="H11" s="13">
        <f>SUM(unconstrained!B22:B26)/SUM(unconstrained!D22:D26)</f>
        <v>4080.856198</v>
      </c>
      <c r="I11" s="7"/>
      <c r="J11" s="12">
        <f>SUM(unconstrained!B2:B6)/SUM(unconstrained!D2:D6)</f>
        <v>101.7270863</v>
      </c>
      <c r="K11" s="7"/>
      <c r="L11" s="12">
        <f>SUM(unconstrained!B27:B31)/SUM(unconstrained!D27:D31)</f>
        <v>23055.25384</v>
      </c>
      <c r="M11" s="7"/>
    </row>
    <row r="14">
      <c r="A14" s="4" t="s">
        <v>40</v>
      </c>
    </row>
    <row r="15">
      <c r="A15" s="5" t="s">
        <v>29</v>
      </c>
      <c r="B15" s="6" t="s">
        <v>41</v>
      </c>
      <c r="C15" s="7"/>
      <c r="D15" s="6" t="s">
        <v>42</v>
      </c>
      <c r="E15" s="7"/>
      <c r="F15" s="6" t="s">
        <v>43</v>
      </c>
      <c r="G15" s="7"/>
      <c r="H15" s="6" t="s">
        <v>44</v>
      </c>
      <c r="I15" s="7"/>
      <c r="J15" s="6" t="s">
        <v>45</v>
      </c>
      <c r="K15" s="7"/>
      <c r="L15" s="6" t="s">
        <v>46</v>
      </c>
      <c r="M15" s="7"/>
      <c r="N15" s="6" t="s">
        <v>47</v>
      </c>
      <c r="O15" s="7"/>
      <c r="P15" s="6" t="s">
        <v>21</v>
      </c>
      <c r="Q15" s="7"/>
    </row>
    <row r="16">
      <c r="A16" s="8"/>
      <c r="B16" s="9" t="s">
        <v>31</v>
      </c>
      <c r="C16" s="9" t="s">
        <v>32</v>
      </c>
      <c r="D16" s="9" t="s">
        <v>31</v>
      </c>
      <c r="E16" s="9" t="s">
        <v>32</v>
      </c>
      <c r="F16" s="9" t="s">
        <v>31</v>
      </c>
      <c r="G16" s="9" t="s">
        <v>32</v>
      </c>
      <c r="H16" s="9" t="s">
        <v>31</v>
      </c>
      <c r="I16" s="9" t="s">
        <v>32</v>
      </c>
      <c r="J16" s="9" t="s">
        <v>31</v>
      </c>
      <c r="K16" s="9" t="s">
        <v>32</v>
      </c>
      <c r="L16" s="9" t="s">
        <v>31</v>
      </c>
      <c r="M16" s="9" t="s">
        <v>32</v>
      </c>
      <c r="N16" s="14" t="s">
        <v>31</v>
      </c>
      <c r="O16" s="14" t="s">
        <v>32</v>
      </c>
      <c r="P16" s="14" t="s">
        <v>31</v>
      </c>
      <c r="Q16" s="14" t="s">
        <v>32</v>
      </c>
    </row>
    <row r="17">
      <c r="A17" s="10" t="s">
        <v>33</v>
      </c>
      <c r="B17" s="11">
        <f>MIN(unconstrained!E$42:E$46)*1000</f>
        <v>0.06628036499</v>
      </c>
      <c r="C17" s="11">
        <f>MAX(unconstrained!E$42:E$46)*1000</f>
        <v>0.06639957428</v>
      </c>
      <c r="D17" s="11">
        <f>MIN(unconstrained!E$47:E$51)*1000</f>
        <v>0.1227855682</v>
      </c>
      <c r="E17" s="11">
        <f>MAX(unconstrained!E$47:E$51)*1000</f>
        <v>0.1795291901</v>
      </c>
      <c r="F17" s="11">
        <f>MIN(unconstrained!E$52:E$56)*1000</f>
        <v>0.1853704453</v>
      </c>
      <c r="G17" s="11">
        <f>MAX(unconstrained!E$52:E$56)*1000</f>
        <v>0.227689743</v>
      </c>
      <c r="H17" s="11">
        <f>MIN(unconstrained!E$57:E$61)*1000</f>
        <v>49.0912199</v>
      </c>
      <c r="I17" s="11">
        <f>MAX(unconstrained!E$57:E$61)*1000</f>
        <v>49.73268509</v>
      </c>
      <c r="J17" s="11">
        <f>MIN(unconstrained!E$62:E$66)*1000</f>
        <v>82.70728588</v>
      </c>
      <c r="K17" s="11">
        <f>MAX(unconstrained!E$62:E$66)*1000</f>
        <v>82.98647404</v>
      </c>
      <c r="L17" s="11">
        <f>MIN(unconstrained!E$67:E$71)*1000</f>
        <v>56.33246899</v>
      </c>
      <c r="M17" s="11">
        <f>MAX(unconstrained!E$67:E$71)*1000</f>
        <v>56.36930466</v>
      </c>
      <c r="N17" s="11">
        <f>MIN(unconstrained!E32:E36)*1000</f>
        <v>0.04696846008</v>
      </c>
      <c r="O17" s="11">
        <f>MAX(unconstrained!E32:E36)*1000</f>
        <v>0.05149841309</v>
      </c>
      <c r="P17" s="11">
        <f>MIN(unconstrained!E$32:E$36)*1000</f>
        <v>0.04696846008</v>
      </c>
      <c r="Q17" s="11">
        <f>MAX(unconstrained!E$32:E$36)*1000</f>
        <v>0.05149841309</v>
      </c>
    </row>
    <row r="18">
      <c r="A18" s="10" t="s">
        <v>48</v>
      </c>
      <c r="B18" s="11">
        <f>MIN(unconstrained!G$42:G$46)*1000</f>
        <v>18.12195778</v>
      </c>
      <c r="C18" s="11">
        <f>MAX(unconstrained!G$42:G$46)*1000</f>
        <v>19.54722404</v>
      </c>
      <c r="D18" s="11">
        <f>MIN(unconstrained!G$47:G$51)*1000</f>
        <v>28.27548981</v>
      </c>
      <c r="E18" s="11">
        <f>MAX(unconstrained!G$47:G$51)*1000</f>
        <v>43.82419586</v>
      </c>
      <c r="F18" s="11">
        <f>MIN(unconstrained!G$52:G$56)*1000</f>
        <v>34.35492516</v>
      </c>
      <c r="G18" s="11">
        <f>MAX(unconstrained!G$52:G$56)*1000</f>
        <v>51.31864548</v>
      </c>
      <c r="H18" s="11">
        <f>MIN(unconstrained!G$57:G$61)*1000</f>
        <v>37589.80393</v>
      </c>
      <c r="I18" s="11">
        <f>MAX(unconstrained!G$57:G$61)*1000</f>
        <v>38236.08088</v>
      </c>
      <c r="J18" s="11">
        <f>MIN(unconstrained!G$62:G$66)*1000</f>
        <v>75278.74088</v>
      </c>
      <c r="K18" s="11">
        <f>MAX(unconstrained!G$62:G$66)*1000</f>
        <v>78694.73958</v>
      </c>
      <c r="L18" s="11">
        <f>MIN(unconstrained!G$67:G$71)*1000</f>
        <v>72059.97753</v>
      </c>
      <c r="M18" s="11">
        <f>MAX(unconstrained!G$67:G$71)*1000</f>
        <v>72334.58853</v>
      </c>
      <c r="N18" s="11">
        <f>Min(unconstrained!H32:H36)*1000</f>
        <v>0.03981590271</v>
      </c>
      <c r="O18" s="11">
        <f>MAX(unconstrained!H32:H36)*1000</f>
        <v>0.04422664642</v>
      </c>
      <c r="P18" s="11">
        <f>MIN(unconstrained!G$32:G$36)*1000</f>
        <v>4.046440125</v>
      </c>
      <c r="Q18" s="11">
        <f>MAX(unconstrained!G$32:G$36)*1000</f>
        <v>4.942178726</v>
      </c>
    </row>
    <row r="19">
      <c r="A19" s="10" t="s">
        <v>49</v>
      </c>
      <c r="B19" s="11">
        <f>MIN(unconstrained!K$42:K$46)*1000</f>
        <v>0.06747245789</v>
      </c>
      <c r="C19" s="11">
        <f>MAX(unconstrained!K$42:K$46)*1000</f>
        <v>0.06747245789</v>
      </c>
      <c r="D19" s="11">
        <f>MIN(unconstrained!K$47:K$51)*1000</f>
        <v>0.1106262207</v>
      </c>
      <c r="E19" s="11">
        <f>MAX(unconstrained!K$47:K$51)*1000</f>
        <v>0.1624822617</v>
      </c>
      <c r="F19" s="11">
        <f>MIN(unconstrained!K$52:K$56)*1000</f>
        <v>0.1862049103</v>
      </c>
      <c r="G19" s="11">
        <f>MAX(unconstrained!K$52:K$56)*1000</f>
        <v>0.2225637436</v>
      </c>
      <c r="H19" s="11">
        <f>MIN(unconstrained!K$57:K$61)*1000</f>
        <v>0.3941059113</v>
      </c>
      <c r="I19" s="11">
        <f>MAX(unconstrained!K$57:K$61)*1000</f>
        <v>0.4048347473</v>
      </c>
      <c r="J19" s="11">
        <f>MIN(unconstrained!K$62:K$66)*1000</f>
        <v>0.6676912308</v>
      </c>
      <c r="K19" s="11">
        <f>MAX(unconstrained!K$62:K$66)*1000</f>
        <v>0.6946325302</v>
      </c>
      <c r="L19" s="11">
        <f>MIN(unconstrained!K$67:K$71)*1000</f>
        <v>1.010775566</v>
      </c>
      <c r="M19" s="11">
        <f>MAX(unconstrained!K$67:K$71)*1000</f>
        <v>1.016736031</v>
      </c>
      <c r="N19" s="11">
        <f>Min(unconstrained!K32:K36)*1000</f>
        <v>0.07581710815</v>
      </c>
      <c r="O19" s="11">
        <f>MAX(unconstrained!K32:K36)*1000</f>
        <v>0.08249282837</v>
      </c>
      <c r="P19" s="11">
        <f>MIN(unconstrained!K$32:K$36)*1000</f>
        <v>0.07581710815</v>
      </c>
      <c r="Q19" s="11">
        <f>MAX(unconstrained!K$32:K$36)*1000</f>
        <v>0.08249282837</v>
      </c>
    </row>
    <row r="20">
      <c r="A20" s="10" t="s">
        <v>36</v>
      </c>
      <c r="B20" s="12">
        <f>unconstrained!F42</f>
        <v>1312</v>
      </c>
      <c r="C20" s="7"/>
      <c r="D20" s="12">
        <f>unconstrained!F47</f>
        <v>1952</v>
      </c>
      <c r="E20" s="7"/>
      <c r="F20" s="12">
        <f>unconstrained!F52</f>
        <v>2592</v>
      </c>
      <c r="G20" s="7"/>
      <c r="H20" s="13">
        <f>unconstrained!F57</f>
        <v>32</v>
      </c>
      <c r="I20" s="7"/>
      <c r="J20" s="12">
        <f>unconstrained!F62</f>
        <v>48</v>
      </c>
      <c r="K20" s="7"/>
      <c r="L20" s="12">
        <f>unconstrained!F67</f>
        <v>64</v>
      </c>
      <c r="M20" s="7"/>
      <c r="N20" s="12">
        <f>unconstrained!F32</f>
        <v>178</v>
      </c>
      <c r="O20" s="7"/>
      <c r="P20" s="15">
        <f>unconstrained!F37</f>
        <v>451</v>
      </c>
      <c r="Q20" s="7"/>
    </row>
    <row r="21">
      <c r="A21" s="10" t="s">
        <v>37</v>
      </c>
      <c r="B21" s="12">
        <f>unconstrained!I43</f>
        <v>2420</v>
      </c>
      <c r="C21" s="7"/>
      <c r="D21" s="12">
        <f>unconstrained!I48</f>
        <v>3293</v>
      </c>
      <c r="E21" s="7"/>
      <c r="F21" s="12">
        <f>unconstrained!I53</f>
        <v>4595</v>
      </c>
      <c r="G21" s="7"/>
      <c r="H21" s="13">
        <f>unconstrained!I58</f>
        <v>7856</v>
      </c>
      <c r="I21" s="7"/>
      <c r="J21" s="12">
        <f>unconstrained!I63</f>
        <v>16224</v>
      </c>
      <c r="K21" s="7"/>
      <c r="L21" s="12">
        <f>unconstrained!I68</f>
        <v>29792</v>
      </c>
      <c r="M21" s="7"/>
      <c r="N21" s="12">
        <f>unconstrained!I32</f>
        <v>71</v>
      </c>
      <c r="O21" s="7"/>
      <c r="P21" s="15">
        <f>unconstrained!I38</f>
        <v>256</v>
      </c>
      <c r="Q21" s="7"/>
    </row>
    <row r="22">
      <c r="A22" s="10" t="s">
        <v>38</v>
      </c>
      <c r="B22" s="11">
        <f>MIN(unconstrained!M$42:M$46)*1024</f>
        <v>23.90528</v>
      </c>
      <c r="C22" s="11">
        <f>MAX(unconstrained!M$42:M$46)*1024</f>
        <v>37.96992</v>
      </c>
      <c r="D22" s="11">
        <f>MIN(unconstrained!M$47:M$51)*1024</f>
        <v>29.00992</v>
      </c>
      <c r="E22" s="11">
        <f>MAX(unconstrained!M$47:M$51)*1024</f>
        <v>36.98176</v>
      </c>
      <c r="F22" s="11">
        <f>MIN(unconstrained!M$52:M$56)*1024</f>
        <v>36.8128</v>
      </c>
      <c r="G22" s="11">
        <f>MAX(unconstrained!M$52:M$56)*1024</f>
        <v>44.086272</v>
      </c>
      <c r="H22" s="11">
        <f>MIN(unconstrained!M$57:M$61)*1024</f>
        <v>33.494016</v>
      </c>
      <c r="I22" s="11">
        <f>MAX(unconstrained!M$57:M$61)*1024</f>
        <v>37.98016</v>
      </c>
      <c r="J22" s="11">
        <f>MIN(unconstrained!M$62:M$66)*1024</f>
        <v>60.331008</v>
      </c>
      <c r="K22" s="11">
        <f>MAX(unconstrained!M$62:M$66)*1024</f>
        <v>67.453952</v>
      </c>
      <c r="L22" s="11">
        <f>MIN(unconstrained!M$67:M$71)*1024</f>
        <v>100.55168</v>
      </c>
      <c r="M22" s="11">
        <f>MAX(unconstrained!M$67:M$71)*1024</f>
        <v>106.011648</v>
      </c>
      <c r="N22" s="11">
        <f>MIN(unconstrained!M32:M36)</f>
        <v>0.010862</v>
      </c>
      <c r="O22" s="11">
        <f>MIN(unconstrained!M32:M36)</f>
        <v>0.010862</v>
      </c>
      <c r="P22" s="11">
        <f>MIN(unconstrained!M$32:M$36)*1024</f>
        <v>11.122688</v>
      </c>
      <c r="Q22" s="11">
        <f>MAX(unconstrained!M$32:M$36)*1024</f>
        <v>21.648384</v>
      </c>
    </row>
    <row r="23">
      <c r="A23" s="10" t="s">
        <v>39</v>
      </c>
      <c r="B23" s="12">
        <f>SUM(unconstrained!B42:B46)/SUM(unconstrained!D42:D46)</f>
        <v>14963.19763</v>
      </c>
      <c r="C23" s="7"/>
      <c r="D23" s="12">
        <f>SUM(unconstrained!B47:B51)/SUM(unconstrained!D47:D51)</f>
        <v>7118.086504</v>
      </c>
      <c r="E23" s="7"/>
      <c r="F23" s="12">
        <f>SUM(unconstrained!B52:B56)/SUM(unconstrained!D52:D56)</f>
        <v>4997.645534</v>
      </c>
      <c r="G23" s="7"/>
      <c r="H23" s="13">
        <f>SUM(unconstrained!B57:B61)/SUM(unconstrained!D57:D61)</f>
        <v>20.03955734</v>
      </c>
      <c r="I23" s="7"/>
      <c r="J23" s="12">
        <f>SUM(unconstrained!B62:B66)/SUM(unconstrained!D62:D66)</f>
        <v>12.13488934</v>
      </c>
      <c r="K23" s="7"/>
      <c r="L23" s="12">
        <f>SUM(unconstrained!B67:B71)/SUM(unconstrained!D67:D71)</f>
        <v>17.67652982</v>
      </c>
      <c r="M23" s="7"/>
      <c r="N23" s="12">
        <f>SUM(unconstrained!B32:B36)/SUM(unconstrained!D32:D36)</f>
        <v>19692.12278</v>
      </c>
      <c r="O23" s="7"/>
      <c r="P23" s="16">
        <f>SUM(unconstrained!B37:B41)/SUM(unconstrained!D37:D41)</f>
        <v>25.38396701</v>
      </c>
      <c r="Q23" s="7"/>
    </row>
    <row r="27">
      <c r="A27" s="17" t="s">
        <v>50</v>
      </c>
      <c r="B27" s="18">
        <f>SUM(SUM(Table3[generate_total_time]), SUM(Table3[encapsulate_total_time]), SUM(Table3[decapsulate_total_time])) / 60</f>
        <v>17.78839602</v>
      </c>
    </row>
    <row r="28">
      <c r="A28" s="8"/>
      <c r="B28" s="8"/>
    </row>
  </sheetData>
  <mergeCells count="60">
    <mergeCell ref="D20:E20"/>
    <mergeCell ref="F20:G20"/>
    <mergeCell ref="H20:I20"/>
    <mergeCell ref="J20:K20"/>
    <mergeCell ref="L20:M20"/>
    <mergeCell ref="N20:O20"/>
    <mergeCell ref="P20:Q20"/>
    <mergeCell ref="B20:C20"/>
    <mergeCell ref="B21:C21"/>
    <mergeCell ref="D21:E21"/>
    <mergeCell ref="F21:G21"/>
    <mergeCell ref="H21:I21"/>
    <mergeCell ref="J21:K21"/>
    <mergeCell ref="L21:M21"/>
    <mergeCell ref="B23:C23"/>
    <mergeCell ref="A27:A28"/>
    <mergeCell ref="B27:B28"/>
    <mergeCell ref="D23:E23"/>
    <mergeCell ref="F23:G23"/>
    <mergeCell ref="H23:I23"/>
    <mergeCell ref="J23:K23"/>
    <mergeCell ref="L23:M23"/>
    <mergeCell ref="N23:O23"/>
    <mergeCell ref="P23:Q23"/>
    <mergeCell ref="A3:A4"/>
    <mergeCell ref="B3:C3"/>
    <mergeCell ref="D3:E3"/>
    <mergeCell ref="F3:G3"/>
    <mergeCell ref="H3:I3"/>
    <mergeCell ref="J3:K3"/>
    <mergeCell ref="L3:M3"/>
    <mergeCell ref="H9:I9"/>
    <mergeCell ref="J9:K9"/>
    <mergeCell ref="B8:C8"/>
    <mergeCell ref="D8:E8"/>
    <mergeCell ref="F8:G8"/>
    <mergeCell ref="H8:I8"/>
    <mergeCell ref="J8:K8"/>
    <mergeCell ref="L8:M8"/>
    <mergeCell ref="B9:C9"/>
    <mergeCell ref="L9:M9"/>
    <mergeCell ref="D9:E9"/>
    <mergeCell ref="F9:G9"/>
    <mergeCell ref="D11:E11"/>
    <mergeCell ref="F11:G11"/>
    <mergeCell ref="H11:I11"/>
    <mergeCell ref="J11:K11"/>
    <mergeCell ref="L11:M11"/>
    <mergeCell ref="L15:M15"/>
    <mergeCell ref="N15:O15"/>
    <mergeCell ref="P15:Q15"/>
    <mergeCell ref="B11:C11"/>
    <mergeCell ref="A15:A16"/>
    <mergeCell ref="B15:C15"/>
    <mergeCell ref="D15:E15"/>
    <mergeCell ref="F15:G15"/>
    <mergeCell ref="H15:I15"/>
    <mergeCell ref="J15:K15"/>
    <mergeCell ref="N21:O21"/>
    <mergeCell ref="P21:Q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15.88"/>
    <col customWidth="1" min="3" max="3" width="16.0"/>
    <col customWidth="1" min="4" max="4" width="23.63"/>
    <col customWidth="1" min="5" max="5" width="25.75"/>
    <col customWidth="1" min="6" max="6" width="20.38"/>
    <col customWidth="1" min="7" max="7" width="26.13"/>
    <col customWidth="1" min="8" max="8" width="28.25"/>
    <col customWidth="1" min="9" max="9" width="20.13"/>
    <col customWidth="1" min="10" max="10" width="26.13"/>
    <col customWidth="1" min="11" max="11" width="28.25"/>
    <col customWidth="1" min="12" max="12" width="24.25"/>
    <col customWidth="1" min="13" max="13" width="22.38"/>
    <col customWidth="1" min="14" max="14" width="17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 t="s">
        <v>14</v>
      </c>
      <c r="B2" s="3">
        <v>100.0</v>
      </c>
      <c r="C2" s="3">
        <v>1.0</v>
      </c>
      <c r="D2" s="3">
        <v>2.3730685710907</v>
      </c>
      <c r="E2" s="3">
        <v>0.0118697881698608</v>
      </c>
      <c r="F2" s="3">
        <v>1541.0</v>
      </c>
      <c r="G2" s="3">
        <v>0.214301824569702</v>
      </c>
      <c r="H2" s="3">
        <v>6.07609748840332E-4</v>
      </c>
      <c r="I2" s="3">
        <v>1573.0</v>
      </c>
      <c r="J2" s="3">
        <v>1.81648659706116</v>
      </c>
      <c r="K2" s="3">
        <v>0.00960838794708252</v>
      </c>
      <c r="L2" s="3">
        <v>0.036329</v>
      </c>
      <c r="M2" s="3">
        <v>0.043274</v>
      </c>
      <c r="N2" s="3">
        <v>0.0</v>
      </c>
    </row>
    <row r="3" ht="22.5" customHeight="1">
      <c r="A3" s="2" t="s">
        <v>14</v>
      </c>
      <c r="B3" s="3">
        <v>100.0</v>
      </c>
      <c r="C3" s="3">
        <v>2.0</v>
      </c>
      <c r="D3" s="3">
        <v>2.31343078613281</v>
      </c>
      <c r="E3" s="3">
        <v>0.0117368698120117</v>
      </c>
      <c r="F3" s="3">
        <v>1541.0</v>
      </c>
      <c r="G3" s="3">
        <v>0.112740993499756</v>
      </c>
      <c r="H3" s="3">
        <v>5.9664249420166E-4</v>
      </c>
      <c r="I3" s="3">
        <v>1573.0</v>
      </c>
      <c r="J3" s="3">
        <v>1.90292525291443</v>
      </c>
      <c r="K3" s="3">
        <v>0.0096203088760376</v>
      </c>
      <c r="L3" s="3">
        <v>0.022906</v>
      </c>
      <c r="M3" s="3">
        <v>0.029851</v>
      </c>
      <c r="N3" s="3">
        <v>0.0</v>
      </c>
    </row>
    <row r="4" ht="22.5" customHeight="1">
      <c r="A4" s="2" t="s">
        <v>14</v>
      </c>
      <c r="B4" s="3">
        <v>100.0</v>
      </c>
      <c r="C4" s="3">
        <v>3.0</v>
      </c>
      <c r="D4" s="3">
        <v>2.41567158699036</v>
      </c>
      <c r="E4" s="3">
        <v>0.0117478370666504</v>
      </c>
      <c r="F4" s="3">
        <v>1541.0</v>
      </c>
      <c r="G4" s="3">
        <v>0.113515853881836</v>
      </c>
      <c r="H4" s="3">
        <v>6.02126121520996E-4</v>
      </c>
      <c r="I4" s="3">
        <v>1573.0</v>
      </c>
      <c r="J4" s="3">
        <v>1.86631155014038</v>
      </c>
      <c r="K4" s="3">
        <v>0.00967788696289063</v>
      </c>
      <c r="L4" s="3">
        <v>0.022785</v>
      </c>
      <c r="M4" s="3">
        <v>0.02973</v>
      </c>
      <c r="N4" s="3">
        <v>0.0</v>
      </c>
    </row>
    <row r="5" ht="22.5" customHeight="1">
      <c r="A5" s="2" t="s">
        <v>14</v>
      </c>
      <c r="B5" s="3">
        <v>100.0</v>
      </c>
      <c r="C5" s="3">
        <v>4.0</v>
      </c>
      <c r="D5" s="3">
        <v>2.42145442962647</v>
      </c>
      <c r="E5" s="3">
        <v>0.0117639303207397</v>
      </c>
      <c r="F5" s="3">
        <v>1541.0</v>
      </c>
      <c r="G5" s="3">
        <v>0.159637451171875</v>
      </c>
      <c r="H5" s="3">
        <v>5.96761703491211E-4</v>
      </c>
      <c r="I5" s="3">
        <v>1573.0</v>
      </c>
      <c r="J5" s="3">
        <v>1.79616594314575</v>
      </c>
      <c r="K5" s="3">
        <v>0.00940680503845215</v>
      </c>
      <c r="L5" s="3">
        <v>0.022879</v>
      </c>
      <c r="M5" s="3">
        <v>0.029824</v>
      </c>
      <c r="N5" s="3">
        <v>0.0</v>
      </c>
    </row>
    <row r="6" ht="22.5" customHeight="1">
      <c r="A6" s="2" t="s">
        <v>14</v>
      </c>
      <c r="B6" s="3">
        <v>100.0</v>
      </c>
      <c r="C6" s="3">
        <v>5.0</v>
      </c>
      <c r="D6" s="3">
        <v>2.36588168144226</v>
      </c>
      <c r="E6" s="3">
        <v>0.0117323398590088</v>
      </c>
      <c r="F6" s="3">
        <v>1541.0</v>
      </c>
      <c r="G6" s="3">
        <v>0.164255380630493</v>
      </c>
      <c r="H6" s="3">
        <v>5.96523284912109E-4</v>
      </c>
      <c r="I6" s="3">
        <v>1573.0</v>
      </c>
      <c r="J6" s="3">
        <v>1.87102627754211</v>
      </c>
      <c r="K6" s="3">
        <v>0.0096738338470459</v>
      </c>
      <c r="L6" s="3">
        <v>0.023039</v>
      </c>
      <c r="M6" s="3">
        <v>0.029984</v>
      </c>
      <c r="N6" s="3">
        <v>0.0</v>
      </c>
    </row>
    <row r="7" ht="22.5" customHeight="1">
      <c r="A7" s="2" t="s">
        <v>15</v>
      </c>
      <c r="B7" s="3">
        <v>100.0</v>
      </c>
      <c r="C7" s="3">
        <v>1.0</v>
      </c>
      <c r="D7" s="3">
        <v>0.00473332405090332</v>
      </c>
      <c r="E7" s="3">
        <v>4.02927398681641E-5</v>
      </c>
      <c r="F7" s="3">
        <v>800.0</v>
      </c>
      <c r="G7" s="3">
        <v>0.00545310974121094</v>
      </c>
      <c r="H7" s="3">
        <v>4.49419021606445E-5</v>
      </c>
      <c r="I7" s="3">
        <v>768.0</v>
      </c>
      <c r="J7" s="3">
        <v>0.00496792793273926</v>
      </c>
      <c r="K7" s="3">
        <v>4.17232513427734E-5</v>
      </c>
      <c r="L7" s="3">
        <v>0.025127</v>
      </c>
      <c r="M7" s="3">
        <v>0.027932</v>
      </c>
      <c r="N7" s="3">
        <v>0.0</v>
      </c>
    </row>
    <row r="8" ht="22.5" customHeight="1">
      <c r="A8" s="2" t="s">
        <v>15</v>
      </c>
      <c r="B8" s="3">
        <v>100.0</v>
      </c>
      <c r="C8" s="3">
        <v>2.0</v>
      </c>
      <c r="D8" s="3">
        <v>0.00352907180786133</v>
      </c>
      <c r="E8" s="3">
        <v>3.38554382324219E-5</v>
      </c>
      <c r="F8" s="3">
        <v>800.0</v>
      </c>
      <c r="G8" s="3">
        <v>0.0039060115814209</v>
      </c>
      <c r="H8" s="3">
        <v>3.76701354980469E-5</v>
      </c>
      <c r="I8" s="3">
        <v>768.0</v>
      </c>
      <c r="J8" s="3">
        <v>0.00357913970947266</v>
      </c>
      <c r="K8" s="3">
        <v>3.52859497070313E-5</v>
      </c>
      <c r="L8" s="3">
        <v>0.014887</v>
      </c>
      <c r="M8" s="3">
        <v>0.017692</v>
      </c>
      <c r="N8" s="3">
        <v>0.0</v>
      </c>
    </row>
    <row r="9" ht="22.5" customHeight="1">
      <c r="A9" s="2" t="s">
        <v>15</v>
      </c>
      <c r="B9" s="3">
        <v>100.0</v>
      </c>
      <c r="C9" s="3">
        <v>3.0</v>
      </c>
      <c r="D9" s="3">
        <v>0.00291919708251953</v>
      </c>
      <c r="E9" s="3">
        <v>2.93254852294922E-5</v>
      </c>
      <c r="F9" s="3">
        <v>800.0</v>
      </c>
      <c r="G9" s="3">
        <v>0.0033109188079834</v>
      </c>
      <c r="H9" s="3">
        <v>3.26633453369141E-5</v>
      </c>
      <c r="I9" s="3">
        <v>768.0</v>
      </c>
      <c r="J9" s="3">
        <v>0.00305914878845215</v>
      </c>
      <c r="K9" s="3">
        <v>3.0517578125E-5</v>
      </c>
      <c r="L9" s="3">
        <v>0.015143</v>
      </c>
      <c r="M9" s="3">
        <v>0.017948</v>
      </c>
      <c r="N9" s="3">
        <v>0.0</v>
      </c>
    </row>
    <row r="10" ht="22.5" customHeight="1">
      <c r="A10" s="2" t="s">
        <v>15</v>
      </c>
      <c r="B10" s="3">
        <v>100.0</v>
      </c>
      <c r="C10" s="3">
        <v>4.0</v>
      </c>
      <c r="D10" s="3">
        <v>0.00259876251220703</v>
      </c>
      <c r="E10" s="3">
        <v>2.59876251220703E-5</v>
      </c>
      <c r="F10" s="3">
        <v>800.0</v>
      </c>
      <c r="G10" s="3">
        <v>0.00289535522460938</v>
      </c>
      <c r="H10" s="3">
        <v>2.86102294921875E-5</v>
      </c>
      <c r="I10" s="3">
        <v>768.0</v>
      </c>
      <c r="J10" s="3">
        <v>0.00269365310668945</v>
      </c>
      <c r="K10" s="3">
        <v>2.69412994384766E-5</v>
      </c>
      <c r="L10" s="3">
        <v>0.015431</v>
      </c>
      <c r="M10" s="3">
        <v>0.018236</v>
      </c>
      <c r="N10" s="3">
        <v>0.0</v>
      </c>
    </row>
    <row r="11" ht="22.5" customHeight="1">
      <c r="A11" s="2" t="s">
        <v>15</v>
      </c>
      <c r="B11" s="3">
        <v>100.0</v>
      </c>
      <c r="C11" s="3">
        <v>5.0</v>
      </c>
      <c r="D11" s="3">
        <v>0.00230789184570313</v>
      </c>
      <c r="E11" s="3">
        <v>2.31266021728516E-5</v>
      </c>
      <c r="F11" s="3">
        <v>800.0</v>
      </c>
      <c r="G11" s="3">
        <v>0.00256824493408203</v>
      </c>
      <c r="H11" s="3">
        <v>2.55107879638672E-5</v>
      </c>
      <c r="I11" s="3">
        <v>768.0</v>
      </c>
      <c r="J11" s="3">
        <v>0.0024266242980957</v>
      </c>
      <c r="K11" s="3">
        <v>2.40802764892578E-5</v>
      </c>
      <c r="L11" s="3">
        <v>0.015262</v>
      </c>
      <c r="M11" s="3">
        <v>0.018067</v>
      </c>
      <c r="N11" s="3">
        <v>0.0</v>
      </c>
    </row>
    <row r="12" ht="22.5" customHeight="1">
      <c r="A12" s="2" t="s">
        <v>16</v>
      </c>
      <c r="B12" s="3">
        <v>100.0</v>
      </c>
      <c r="C12" s="3">
        <v>1.0</v>
      </c>
      <c r="D12" s="3">
        <v>0.00698614120483398</v>
      </c>
      <c r="E12" s="3">
        <v>6.78300857543945E-5</v>
      </c>
      <c r="F12" s="3">
        <v>1184.0</v>
      </c>
      <c r="G12" s="3">
        <v>0.00730252265930176</v>
      </c>
      <c r="H12" s="3">
        <v>7.20024108886719E-5</v>
      </c>
      <c r="I12" s="3">
        <v>1088.0</v>
      </c>
      <c r="J12" s="3">
        <v>0.00743556022644043</v>
      </c>
      <c r="K12" s="3">
        <v>7.18832015991211E-5</v>
      </c>
      <c r="L12" s="3">
        <v>0.02431</v>
      </c>
      <c r="M12" s="3">
        <v>0.028203</v>
      </c>
      <c r="N12" s="3">
        <v>0.0</v>
      </c>
    </row>
    <row r="13" ht="22.5" customHeight="1">
      <c r="A13" s="2" t="s">
        <v>16</v>
      </c>
      <c r="B13" s="3">
        <v>100.0</v>
      </c>
      <c r="C13" s="3">
        <v>2.0</v>
      </c>
      <c r="D13" s="3">
        <v>0.00468134880065918</v>
      </c>
      <c r="E13" s="3">
        <v>4.76837158203125E-5</v>
      </c>
      <c r="F13" s="3">
        <v>1184.0</v>
      </c>
      <c r="G13" s="3">
        <v>0.00501871109008789</v>
      </c>
      <c r="H13" s="3">
        <v>5.05447387695313E-5</v>
      </c>
      <c r="I13" s="3">
        <v>1088.0</v>
      </c>
      <c r="J13" s="3">
        <v>0.00499391555786133</v>
      </c>
      <c r="K13" s="3">
        <v>5.05447387695313E-5</v>
      </c>
      <c r="L13" s="3">
        <v>0.016039</v>
      </c>
      <c r="M13" s="3">
        <v>0.019996</v>
      </c>
      <c r="N13" s="3">
        <v>0.0</v>
      </c>
    </row>
    <row r="14" ht="22.5" customHeight="1">
      <c r="A14" s="2" t="s">
        <v>16</v>
      </c>
      <c r="B14" s="3">
        <v>100.0</v>
      </c>
      <c r="C14" s="3">
        <v>3.0</v>
      </c>
      <c r="D14" s="3">
        <v>0.00390076637268066</v>
      </c>
      <c r="E14" s="3">
        <v>3.67164611816406E-5</v>
      </c>
      <c r="F14" s="3">
        <v>1184.0</v>
      </c>
      <c r="G14" s="3">
        <v>0.00423097610473633</v>
      </c>
      <c r="H14" s="3">
        <v>3.91006469726563E-5</v>
      </c>
      <c r="I14" s="3">
        <v>1088.0</v>
      </c>
      <c r="J14" s="3">
        <v>0.00406432151794434</v>
      </c>
      <c r="K14" s="3">
        <v>3.88622283935547E-5</v>
      </c>
      <c r="L14" s="3">
        <v>0.016263</v>
      </c>
      <c r="M14" s="3">
        <v>0.02022</v>
      </c>
      <c r="N14" s="3">
        <v>0.0</v>
      </c>
    </row>
    <row r="15" ht="22.5" customHeight="1">
      <c r="A15" s="2" t="s">
        <v>16</v>
      </c>
      <c r="B15" s="3">
        <v>100.0</v>
      </c>
      <c r="C15" s="3">
        <v>4.0</v>
      </c>
      <c r="D15" s="3">
        <v>0.00326323509216309</v>
      </c>
      <c r="E15" s="3">
        <v>3.24249267578125E-5</v>
      </c>
      <c r="F15" s="3">
        <v>1184.0</v>
      </c>
      <c r="G15" s="3">
        <v>0.00352191925048828</v>
      </c>
      <c r="H15" s="3">
        <v>3.45706939697266E-5</v>
      </c>
      <c r="I15" s="3">
        <v>1088.0</v>
      </c>
      <c r="J15" s="3">
        <v>0.00342893600463867</v>
      </c>
      <c r="K15" s="3">
        <v>3.45706939697266E-5</v>
      </c>
      <c r="L15" s="3">
        <v>0.016391</v>
      </c>
      <c r="M15" s="3">
        <v>0.020348</v>
      </c>
      <c r="N15" s="3">
        <v>0.0</v>
      </c>
    </row>
    <row r="16" ht="22.5" customHeight="1">
      <c r="A16" s="2" t="s">
        <v>16</v>
      </c>
      <c r="B16" s="3">
        <v>100.0</v>
      </c>
      <c r="C16" s="3">
        <v>5.0</v>
      </c>
      <c r="D16" s="3">
        <v>0.00292468070983887</v>
      </c>
      <c r="E16" s="3">
        <v>2.93254852294922E-5</v>
      </c>
      <c r="F16" s="3">
        <v>1184.0</v>
      </c>
      <c r="G16" s="3">
        <v>0.00307250022888184</v>
      </c>
      <c r="H16" s="3">
        <v>3.14712524414063E-5</v>
      </c>
      <c r="I16" s="3">
        <v>1088.0</v>
      </c>
      <c r="J16" s="3">
        <v>0.00307655334472656</v>
      </c>
      <c r="K16" s="3">
        <v>3.14712524414063E-5</v>
      </c>
      <c r="L16" s="3">
        <v>0.017835</v>
      </c>
      <c r="M16" s="3">
        <v>0.021632</v>
      </c>
      <c r="N16" s="3">
        <v>0.0</v>
      </c>
    </row>
    <row r="17" ht="22.5" customHeight="1">
      <c r="A17" s="2" t="s">
        <v>17</v>
      </c>
      <c r="B17" s="3">
        <v>100.0</v>
      </c>
      <c r="C17" s="3">
        <v>1.0</v>
      </c>
      <c r="D17" s="3">
        <v>0.00871968269348145</v>
      </c>
      <c r="E17" s="3">
        <v>8.72611999511719E-5</v>
      </c>
      <c r="F17" s="3">
        <v>1568.0</v>
      </c>
      <c r="G17" s="3">
        <v>0.00917172431945801</v>
      </c>
      <c r="H17" s="3">
        <v>8.29696655273438E-5</v>
      </c>
      <c r="I17" s="3">
        <v>1568.0</v>
      </c>
      <c r="J17" s="3">
        <v>0.00928878784179688</v>
      </c>
      <c r="K17" s="3">
        <v>9.2625617980957E-5</v>
      </c>
      <c r="L17" s="3">
        <v>0.022865</v>
      </c>
      <c r="M17" s="3">
        <v>0.028004</v>
      </c>
      <c r="N17" s="3">
        <v>0.0</v>
      </c>
    </row>
    <row r="18" ht="22.5" customHeight="1">
      <c r="A18" s="2" t="s">
        <v>17</v>
      </c>
      <c r="B18" s="3">
        <v>100.0</v>
      </c>
      <c r="C18" s="3">
        <v>2.0</v>
      </c>
      <c r="D18" s="3">
        <v>0.00573801994323731</v>
      </c>
      <c r="E18" s="3">
        <v>5.53131103515625E-5</v>
      </c>
      <c r="F18" s="3">
        <v>1568.0</v>
      </c>
      <c r="G18" s="3">
        <v>0.00618577003479004</v>
      </c>
      <c r="H18" s="3">
        <v>5.93662261962891E-5</v>
      </c>
      <c r="I18" s="3">
        <v>1568.0</v>
      </c>
      <c r="J18" s="3">
        <v>0.00638604164123535</v>
      </c>
      <c r="K18" s="3">
        <v>6.12735748291016E-5</v>
      </c>
      <c r="L18" s="3">
        <v>0.017927</v>
      </c>
      <c r="M18" s="3">
        <v>0.023066</v>
      </c>
      <c r="N18" s="3">
        <v>0.0</v>
      </c>
    </row>
    <row r="19" ht="22.5" customHeight="1">
      <c r="A19" s="2" t="s">
        <v>17</v>
      </c>
      <c r="B19" s="3">
        <v>100.0</v>
      </c>
      <c r="C19" s="3">
        <v>3.0</v>
      </c>
      <c r="D19" s="3">
        <v>0.00446486473083496</v>
      </c>
      <c r="E19" s="3">
        <v>4.36305999755859E-5</v>
      </c>
      <c r="F19" s="3">
        <v>1568.0</v>
      </c>
      <c r="G19" s="3">
        <v>0.00487089157104492</v>
      </c>
      <c r="H19" s="3">
        <v>4.72068786621094E-5</v>
      </c>
      <c r="I19" s="3">
        <v>1568.0</v>
      </c>
      <c r="J19" s="3">
        <v>0.00494837760925293</v>
      </c>
      <c r="K19" s="3">
        <v>4.83989715576172E-5</v>
      </c>
      <c r="L19" s="3">
        <v>0.019783</v>
      </c>
      <c r="M19" s="3">
        <v>0.024922</v>
      </c>
      <c r="N19" s="3">
        <v>0.0</v>
      </c>
    </row>
    <row r="20" ht="22.5" customHeight="1">
      <c r="A20" s="2" t="s">
        <v>17</v>
      </c>
      <c r="B20" s="3">
        <v>100.0</v>
      </c>
      <c r="C20" s="3">
        <v>4.0</v>
      </c>
      <c r="D20" s="3">
        <v>0.0038459300994873</v>
      </c>
      <c r="E20" s="3">
        <v>3.69548797607422E-5</v>
      </c>
      <c r="F20" s="3">
        <v>1568.0</v>
      </c>
      <c r="G20" s="3">
        <v>0.00408363342285156</v>
      </c>
      <c r="H20" s="3">
        <v>3.95774841308594E-5</v>
      </c>
      <c r="I20" s="3">
        <v>1568.0</v>
      </c>
      <c r="J20" s="3">
        <v>0.00423502922058106</v>
      </c>
      <c r="K20" s="3">
        <v>4.07695770263672E-5</v>
      </c>
      <c r="L20" s="3">
        <v>0.020071</v>
      </c>
      <c r="M20" s="3">
        <v>0.02521</v>
      </c>
      <c r="N20" s="3">
        <v>0.0</v>
      </c>
    </row>
    <row r="21" ht="22.5" customHeight="1">
      <c r="A21" s="2" t="s">
        <v>17</v>
      </c>
      <c r="B21" s="3">
        <v>100.0</v>
      </c>
      <c r="C21" s="3">
        <v>5.0</v>
      </c>
      <c r="D21" s="3">
        <v>0.0536067485809326</v>
      </c>
      <c r="E21" s="3">
        <v>4.36305999755859E-5</v>
      </c>
      <c r="F21" s="3">
        <v>1568.0</v>
      </c>
      <c r="G21" s="3">
        <v>0.00485920906066895</v>
      </c>
      <c r="H21" s="3">
        <v>4.72068786621094E-5</v>
      </c>
      <c r="I21" s="3">
        <v>1568.0</v>
      </c>
      <c r="J21" s="3">
        <v>0.00498533248901367</v>
      </c>
      <c r="K21" s="3">
        <v>4.83989715576172E-5</v>
      </c>
      <c r="L21" s="3">
        <v>0.017162</v>
      </c>
      <c r="M21" s="3">
        <v>0.026265</v>
      </c>
      <c r="N21" s="3">
        <v>0.0</v>
      </c>
    </row>
    <row r="22" ht="22.5" customHeight="1">
      <c r="A22" s="2" t="s">
        <v>18</v>
      </c>
      <c r="B22" s="3">
        <v>100.0</v>
      </c>
      <c r="C22" s="3">
        <v>1.0</v>
      </c>
      <c r="D22" s="3">
        <v>0.13257622718811</v>
      </c>
      <c r="E22" s="3">
        <v>3.0064582824707E-4</v>
      </c>
      <c r="F22" s="3">
        <v>9616.0</v>
      </c>
      <c r="G22" s="3">
        <v>0.0602014064788818</v>
      </c>
      <c r="H22" s="3">
        <v>5.61833381652832E-4</v>
      </c>
      <c r="I22" s="3">
        <v>9720.0</v>
      </c>
      <c r="J22" s="3">
        <v>0.0592851638793945</v>
      </c>
      <c r="K22" s="3">
        <v>5.42163848876953E-4</v>
      </c>
      <c r="L22" s="3">
        <v>0.077754</v>
      </c>
      <c r="M22" s="3">
        <v>0.107439</v>
      </c>
      <c r="N22" s="3">
        <v>0.0</v>
      </c>
    </row>
    <row r="23" ht="22.5" customHeight="1">
      <c r="A23" s="2" t="s">
        <v>18</v>
      </c>
      <c r="B23" s="3">
        <v>100.0</v>
      </c>
      <c r="C23" s="3">
        <v>2.0</v>
      </c>
      <c r="D23" s="3">
        <v>0.0797317028045654</v>
      </c>
      <c r="E23" s="3">
        <v>2.9289722442627E-4</v>
      </c>
      <c r="F23" s="3">
        <v>9616.0</v>
      </c>
      <c r="G23" s="3">
        <v>0.107457160949707</v>
      </c>
      <c r="H23" s="3">
        <v>5.50985336303711E-4</v>
      </c>
      <c r="I23" s="3">
        <v>9720.0</v>
      </c>
      <c r="J23" s="3">
        <v>0.104944944381714</v>
      </c>
      <c r="K23" s="3">
        <v>5.33819198608398E-4</v>
      </c>
      <c r="L23" s="3">
        <v>0.068175</v>
      </c>
      <c r="M23" s="3">
        <v>0.09786</v>
      </c>
      <c r="N23" s="3">
        <v>0.0</v>
      </c>
    </row>
    <row r="24" ht="22.5" customHeight="1">
      <c r="A24" s="2" t="s">
        <v>18</v>
      </c>
      <c r="B24" s="3">
        <v>100.0</v>
      </c>
      <c r="C24" s="3">
        <v>3.0</v>
      </c>
      <c r="D24" s="3">
        <v>0.0820384025573731</v>
      </c>
      <c r="E24" s="3">
        <v>2.92778015136719E-4</v>
      </c>
      <c r="F24" s="3">
        <v>9616.0</v>
      </c>
      <c r="G24" s="3">
        <v>0.102657318115234</v>
      </c>
      <c r="H24" s="3">
        <v>5.49435615539551E-4</v>
      </c>
      <c r="I24" s="3">
        <v>9720.0</v>
      </c>
      <c r="J24" s="3">
        <v>0.106456518173218</v>
      </c>
      <c r="K24" s="3">
        <v>5.34176826477051E-4</v>
      </c>
      <c r="L24" s="3">
        <v>0.068303</v>
      </c>
      <c r="M24" s="3">
        <v>0.097988</v>
      </c>
      <c r="N24" s="3">
        <v>0.0</v>
      </c>
    </row>
    <row r="25" ht="22.5" customHeight="1">
      <c r="A25" s="2" t="s">
        <v>18</v>
      </c>
      <c r="B25" s="3">
        <v>100.0</v>
      </c>
      <c r="C25" s="3">
        <v>4.0</v>
      </c>
      <c r="D25" s="3">
        <v>0.0286052227020264</v>
      </c>
      <c r="E25" s="3">
        <v>2.7775764465332E-4</v>
      </c>
      <c r="F25" s="3">
        <v>9616.0</v>
      </c>
      <c r="G25" s="3">
        <v>0.152076244354248</v>
      </c>
      <c r="H25" s="3">
        <v>5.16295433044434E-4</v>
      </c>
      <c r="I25" s="3">
        <v>9720.0</v>
      </c>
      <c r="J25" s="3">
        <v>0.0519480705261231</v>
      </c>
      <c r="K25" s="3">
        <v>5.02347946166992E-4</v>
      </c>
      <c r="L25" s="3">
        <v>0.068591</v>
      </c>
      <c r="M25" s="3">
        <v>0.098276</v>
      </c>
      <c r="N25" s="3">
        <v>0.0</v>
      </c>
    </row>
    <row r="26" ht="22.5" customHeight="1">
      <c r="A26" s="2" t="s">
        <v>18</v>
      </c>
      <c r="B26" s="3">
        <v>100.0</v>
      </c>
      <c r="C26" s="3">
        <v>5.0</v>
      </c>
      <c r="D26" s="3">
        <v>0.029853343963623</v>
      </c>
      <c r="E26" s="3">
        <v>2.92539596557617E-4</v>
      </c>
      <c r="F26" s="3">
        <v>9616.0</v>
      </c>
      <c r="G26" s="3">
        <v>0.104684591293335</v>
      </c>
      <c r="H26" s="3">
        <v>5.46693801879883E-4</v>
      </c>
      <c r="I26" s="3">
        <v>9720.0</v>
      </c>
      <c r="J26" s="3">
        <v>0.104438781738281</v>
      </c>
      <c r="K26" s="3">
        <v>5.30719757080078E-4</v>
      </c>
      <c r="L26" s="3">
        <v>0.06931</v>
      </c>
      <c r="M26" s="3">
        <v>0.098995</v>
      </c>
      <c r="N26" s="3">
        <v>0.0</v>
      </c>
    </row>
    <row r="27" ht="22.5" customHeight="1">
      <c r="A27" s="2" t="s">
        <v>19</v>
      </c>
      <c r="B27" s="3">
        <v>100.0</v>
      </c>
      <c r="C27" s="3">
        <v>1.0</v>
      </c>
      <c r="D27" s="3">
        <v>0.00572562217712402</v>
      </c>
      <c r="E27" s="3">
        <v>5.62667846679688E-5</v>
      </c>
      <c r="F27" s="3">
        <v>32.0</v>
      </c>
      <c r="G27" s="3">
        <v>0.0102159976959229</v>
      </c>
      <c r="H27" s="3">
        <v>1.01327896118164E-4</v>
      </c>
      <c r="I27" s="3">
        <v>32.0</v>
      </c>
      <c r="J27" s="3">
        <v>0.00497984886169434</v>
      </c>
      <c r="K27" s="3">
        <v>4.93526458740234E-5</v>
      </c>
      <c r="L27" s="3">
        <v>0.286442</v>
      </c>
      <c r="M27" s="3">
        <v>0.286755</v>
      </c>
      <c r="N27" s="3">
        <v>0.0</v>
      </c>
    </row>
    <row r="28" ht="22.5" customHeight="1">
      <c r="A28" s="2" t="s">
        <v>19</v>
      </c>
      <c r="B28" s="3">
        <v>100.0</v>
      </c>
      <c r="C28" s="3">
        <v>2.0</v>
      </c>
      <c r="D28" s="3">
        <v>0.00471758842468262</v>
      </c>
      <c r="E28" s="3">
        <v>4.6849250793457E-5</v>
      </c>
      <c r="F28" s="3">
        <v>32.0</v>
      </c>
      <c r="G28" s="3">
        <v>0.00851249694824219</v>
      </c>
      <c r="H28" s="3">
        <v>8.47578048706055E-5</v>
      </c>
      <c r="I28" s="3">
        <v>32.0</v>
      </c>
      <c r="J28" s="3">
        <v>0.00411891937255859</v>
      </c>
      <c r="K28" s="3">
        <v>3.99351119995117E-5</v>
      </c>
      <c r="L28" s="3">
        <v>0.010303</v>
      </c>
      <c r="M28" s="3">
        <v>0.010616</v>
      </c>
      <c r="N28" s="3">
        <v>0.0</v>
      </c>
    </row>
    <row r="29" ht="22.5" customHeight="1">
      <c r="A29" s="2" t="s">
        <v>19</v>
      </c>
      <c r="B29" s="3">
        <v>100.0</v>
      </c>
      <c r="C29" s="3">
        <v>3.0</v>
      </c>
      <c r="D29" s="3">
        <v>0.00555109977722168</v>
      </c>
      <c r="E29" s="3">
        <v>5.62667846679688E-5</v>
      </c>
      <c r="F29" s="3">
        <v>32.0</v>
      </c>
      <c r="G29" s="3">
        <v>0.0583028793334961</v>
      </c>
      <c r="H29" s="3">
        <v>1.01566314697266E-4</v>
      </c>
      <c r="I29" s="3">
        <v>32.0</v>
      </c>
      <c r="J29" s="3">
        <v>0.00481319427490234</v>
      </c>
      <c r="K29" s="3">
        <v>4.93526458740234E-5</v>
      </c>
      <c r="L29" s="3">
        <v>0.008483</v>
      </c>
      <c r="M29" s="3">
        <v>0.008796</v>
      </c>
      <c r="N29" s="3">
        <v>0.0</v>
      </c>
    </row>
    <row r="30" ht="22.5" customHeight="1">
      <c r="A30" s="2" t="s">
        <v>19</v>
      </c>
      <c r="B30" s="3">
        <v>100.0</v>
      </c>
      <c r="C30" s="3">
        <v>4.0</v>
      </c>
      <c r="D30" s="3">
        <v>0.00503110885620117</v>
      </c>
      <c r="E30" s="3">
        <v>4.91142272949219E-5</v>
      </c>
      <c r="F30" s="3">
        <v>32.0</v>
      </c>
      <c r="G30" s="3">
        <v>0.00906109809875488</v>
      </c>
      <c r="H30" s="3">
        <v>9.00030136108398E-5</v>
      </c>
      <c r="I30" s="3">
        <v>32.0</v>
      </c>
      <c r="J30" s="3">
        <v>0.00441098213195801</v>
      </c>
      <c r="K30" s="3">
        <v>4.3034553527832E-5</v>
      </c>
      <c r="L30" s="3">
        <v>0.010591</v>
      </c>
      <c r="M30" s="3">
        <v>0.010904</v>
      </c>
      <c r="N30" s="3">
        <v>0.0</v>
      </c>
    </row>
    <row r="31" ht="22.5" customHeight="1">
      <c r="A31" s="2" t="s">
        <v>19</v>
      </c>
      <c r="B31" s="3">
        <v>100.0</v>
      </c>
      <c r="C31" s="3">
        <v>5.0</v>
      </c>
      <c r="D31" s="3">
        <v>0.0583651065826416</v>
      </c>
      <c r="E31" s="3">
        <v>4.52995300292969E-5</v>
      </c>
      <c r="F31" s="3">
        <v>32.0</v>
      </c>
      <c r="G31" s="3">
        <v>0.0093233585357666</v>
      </c>
      <c r="H31" s="3">
        <v>8.13007354736328E-5</v>
      </c>
      <c r="I31" s="3">
        <v>32.0</v>
      </c>
      <c r="J31" s="3">
        <v>0.00449752807617188</v>
      </c>
      <c r="K31" s="3">
        <v>3.95774841308594E-5</v>
      </c>
      <c r="L31" s="3">
        <v>0.008612</v>
      </c>
      <c r="M31" s="3">
        <v>0.010462</v>
      </c>
      <c r="N31" s="3">
        <v>0.0</v>
      </c>
    </row>
    <row r="32" ht="22.5" customHeight="1">
      <c r="A32" s="2" t="s">
        <v>20</v>
      </c>
      <c r="B32" s="3">
        <v>100.0</v>
      </c>
      <c r="C32" s="3">
        <v>1.0</v>
      </c>
      <c r="D32" s="3">
        <v>0.00604057312011719</v>
      </c>
      <c r="E32" s="3">
        <v>5.90085983276367E-5</v>
      </c>
      <c r="F32" s="3">
        <v>178.0</v>
      </c>
      <c r="G32" s="3">
        <v>0.00520038604736328</v>
      </c>
      <c r="H32" s="3">
        <v>5.04255294799805E-5</v>
      </c>
      <c r="I32" s="3">
        <v>71.0</v>
      </c>
      <c r="J32" s="3">
        <v>0.00977587699890137</v>
      </c>
      <c r="K32" s="3">
        <v>9.51290130615234E-5</v>
      </c>
      <c r="L32" s="3">
        <v>0.021245</v>
      </c>
      <c r="M32" s="3">
        <v>0.02177</v>
      </c>
      <c r="N32" s="3">
        <v>0.0</v>
      </c>
    </row>
    <row r="33" ht="22.5" customHeight="1">
      <c r="A33" s="2" t="s">
        <v>20</v>
      </c>
      <c r="B33" s="3">
        <v>100.0</v>
      </c>
      <c r="C33" s="3">
        <v>2.0</v>
      </c>
      <c r="D33" s="3">
        <v>0.00541782379150391</v>
      </c>
      <c r="E33" s="3">
        <v>5.03063201904297E-5</v>
      </c>
      <c r="F33" s="3">
        <v>178.0</v>
      </c>
      <c r="G33" s="3">
        <v>0.00460553169250488</v>
      </c>
      <c r="H33" s="3">
        <v>4.29153442382813E-5</v>
      </c>
      <c r="I33" s="3">
        <v>70.0</v>
      </c>
      <c r="J33" s="3">
        <v>0.0567536354064941</v>
      </c>
      <c r="K33" s="3">
        <v>8.13007354736328E-5</v>
      </c>
      <c r="L33" s="3">
        <v>0.009668</v>
      </c>
      <c r="M33" s="3">
        <v>0.010193</v>
      </c>
      <c r="N33" s="3">
        <v>0.0</v>
      </c>
    </row>
    <row r="34" ht="22.5" customHeight="1">
      <c r="A34" s="2" t="s">
        <v>20</v>
      </c>
      <c r="B34" s="3">
        <v>100.0</v>
      </c>
      <c r="C34" s="3">
        <v>3.0</v>
      </c>
      <c r="D34" s="3">
        <v>0.00617313385009766</v>
      </c>
      <c r="E34" s="3">
        <v>6.23464584350586E-5</v>
      </c>
      <c r="F34" s="3">
        <v>178.0</v>
      </c>
      <c r="G34" s="3">
        <v>0.00521969795227051</v>
      </c>
      <c r="H34" s="3">
        <v>5.30481338500977E-5</v>
      </c>
      <c r="I34" s="3">
        <v>72.0</v>
      </c>
      <c r="J34" s="3">
        <v>0.00990390777587891</v>
      </c>
      <c r="K34" s="3">
        <v>1.00851058959961E-4</v>
      </c>
      <c r="L34" s="3">
        <v>0.01024</v>
      </c>
      <c r="M34" s="3">
        <v>0.010765</v>
      </c>
      <c r="N34" s="3">
        <v>0.0</v>
      </c>
    </row>
    <row r="35" ht="22.5" customHeight="1">
      <c r="A35" s="2" t="s">
        <v>20</v>
      </c>
      <c r="B35" s="3">
        <v>100.0</v>
      </c>
      <c r="C35" s="3">
        <v>4.0</v>
      </c>
      <c r="D35" s="3">
        <v>0.00517177581787109</v>
      </c>
      <c r="E35" s="3">
        <v>5.05447387695313E-5</v>
      </c>
      <c r="F35" s="3">
        <v>178.0</v>
      </c>
      <c r="G35" s="3">
        <v>0.00439620018005371</v>
      </c>
      <c r="H35" s="3">
        <v>4.26769256591797E-5</v>
      </c>
      <c r="I35" s="3">
        <v>72.0</v>
      </c>
      <c r="J35" s="3">
        <v>0.00835108757019043</v>
      </c>
      <c r="K35" s="3">
        <v>8.13007354736328E-5</v>
      </c>
      <c r="L35" s="3">
        <v>0.010086</v>
      </c>
      <c r="M35" s="3">
        <v>0.010611</v>
      </c>
      <c r="N35" s="3">
        <v>0.0</v>
      </c>
    </row>
    <row r="36" ht="22.5" customHeight="1">
      <c r="A36" s="2" t="s">
        <v>20</v>
      </c>
      <c r="B36" s="3">
        <v>100.0</v>
      </c>
      <c r="C36" s="3">
        <v>5.0</v>
      </c>
      <c r="D36" s="3">
        <v>0.00654816627502441</v>
      </c>
      <c r="E36" s="3">
        <v>6.58035278320313E-5</v>
      </c>
      <c r="F36" s="3">
        <v>178.0</v>
      </c>
      <c r="G36" s="3">
        <v>0.00553464889526367</v>
      </c>
      <c r="H36" s="3">
        <v>5.340576171875E-5</v>
      </c>
      <c r="I36" s="3">
        <v>70.0</v>
      </c>
      <c r="J36" s="3">
        <v>0.0596578121185303</v>
      </c>
      <c r="K36" s="3">
        <v>1.0991096496582E-4</v>
      </c>
      <c r="L36" s="3">
        <v>0.010401</v>
      </c>
      <c r="M36" s="3">
        <v>0.010926</v>
      </c>
      <c r="N36" s="3">
        <v>0.0</v>
      </c>
    </row>
    <row r="37" ht="22.5" customHeight="1">
      <c r="A37" s="2" t="s">
        <v>21</v>
      </c>
      <c r="B37" s="3">
        <v>100.0</v>
      </c>
      <c r="C37" s="3">
        <v>1.0</v>
      </c>
      <c r="D37" s="3">
        <v>9.79891920089722</v>
      </c>
      <c r="E37" s="3">
        <v>0.0844941139221191</v>
      </c>
      <c r="F37" s="3">
        <v>451.0</v>
      </c>
      <c r="G37" s="3">
        <v>0.299282550811768</v>
      </c>
      <c r="H37" s="3">
        <v>0.00100696086883545</v>
      </c>
      <c r="I37" s="3">
        <v>256.0</v>
      </c>
      <c r="J37" s="3">
        <v>0.0055687427520752</v>
      </c>
      <c r="K37" s="3">
        <v>5.22136688232422E-5</v>
      </c>
      <c r="L37" s="3">
        <v>0.01466</v>
      </c>
      <c r="M37" s="3">
        <v>0.016414</v>
      </c>
      <c r="N37" s="3">
        <v>0.0</v>
      </c>
    </row>
    <row r="38" ht="22.5" customHeight="1">
      <c r="A38" s="2" t="s">
        <v>21</v>
      </c>
      <c r="B38" s="3">
        <v>100.0</v>
      </c>
      <c r="C38" s="3">
        <v>2.0</v>
      </c>
      <c r="D38" s="3">
        <v>10.2969646453857</v>
      </c>
      <c r="E38" s="3">
        <v>0.0949236154556274</v>
      </c>
      <c r="F38" s="3">
        <v>451.0</v>
      </c>
      <c r="G38" s="3">
        <v>0.20637583732605</v>
      </c>
      <c r="H38" s="3">
        <v>9.78231430053711E-4</v>
      </c>
      <c r="I38" s="3">
        <v>256.0</v>
      </c>
      <c r="J38" s="3">
        <v>0.00546789169311523</v>
      </c>
      <c r="K38" s="3">
        <v>5.12599945068359E-5</v>
      </c>
      <c r="L38" s="3">
        <v>0.013126</v>
      </c>
      <c r="M38" s="3">
        <v>0.01488</v>
      </c>
      <c r="N38" s="3">
        <v>0.0</v>
      </c>
    </row>
    <row r="39" ht="22.5" customHeight="1">
      <c r="A39" s="2" t="s">
        <v>21</v>
      </c>
      <c r="B39" s="3">
        <v>100.0</v>
      </c>
      <c r="C39" s="3">
        <v>3.0</v>
      </c>
      <c r="D39" s="3">
        <v>8.99681973457336</v>
      </c>
      <c r="E39" s="3">
        <v>0.0869189500808716</v>
      </c>
      <c r="F39" s="3">
        <v>451.0</v>
      </c>
      <c r="G39" s="3">
        <v>0.250874757766724</v>
      </c>
      <c r="H39" s="3">
        <v>9.93251800537109E-4</v>
      </c>
      <c r="I39" s="3">
        <v>256.0</v>
      </c>
      <c r="J39" s="3">
        <v>0.0570292472839356</v>
      </c>
      <c r="K39" s="3">
        <v>5.16176223754883E-5</v>
      </c>
      <c r="L39" s="3">
        <v>0.01329</v>
      </c>
      <c r="M39" s="3">
        <v>0.01504</v>
      </c>
      <c r="N39" s="3">
        <v>0.0</v>
      </c>
    </row>
    <row r="40" ht="22.5" customHeight="1">
      <c r="A40" s="2" t="s">
        <v>21</v>
      </c>
      <c r="B40" s="3">
        <v>100.0</v>
      </c>
      <c r="C40" s="3">
        <v>4.0</v>
      </c>
      <c r="D40" s="3">
        <v>12.4233884811401</v>
      </c>
      <c r="E40" s="3">
        <v>0.0988987684249878</v>
      </c>
      <c r="F40" s="3">
        <v>451.0</v>
      </c>
      <c r="G40" s="3">
        <v>0.204284429550171</v>
      </c>
      <c r="H40" s="3">
        <v>0.00101768970489502</v>
      </c>
      <c r="I40" s="3">
        <v>256.0</v>
      </c>
      <c r="J40" s="3">
        <v>0.0549633502960205</v>
      </c>
      <c r="K40" s="3">
        <v>5.14984130859375E-5</v>
      </c>
      <c r="L40" s="3">
        <v>0.011022</v>
      </c>
      <c r="M40" s="3">
        <v>0.012772</v>
      </c>
      <c r="N40" s="3">
        <v>0.0</v>
      </c>
    </row>
    <row r="41" ht="22.5" customHeight="1">
      <c r="A41" s="2" t="s">
        <v>21</v>
      </c>
      <c r="B41" s="3">
        <v>100.0</v>
      </c>
      <c r="C41" s="3">
        <v>5.0</v>
      </c>
      <c r="D41" s="3">
        <v>10.017421245575</v>
      </c>
      <c r="E41" s="3">
        <v>0.0936588048934937</v>
      </c>
      <c r="F41" s="3">
        <v>451.0</v>
      </c>
      <c r="G41" s="3">
        <v>0.201386451721191</v>
      </c>
      <c r="H41" s="3">
        <v>0.00100064277648926</v>
      </c>
      <c r="I41" s="3">
        <v>256.0</v>
      </c>
      <c r="J41" s="3">
        <v>0.00549197196960449</v>
      </c>
      <c r="K41" s="3">
        <v>5.29289245605469E-5</v>
      </c>
      <c r="L41" s="3">
        <v>0.015108</v>
      </c>
      <c r="M41" s="3">
        <v>0.016862</v>
      </c>
      <c r="N41" s="3">
        <v>0.0</v>
      </c>
    </row>
    <row r="42" ht="22.5" customHeight="1">
      <c r="A42" s="2" t="s">
        <v>22</v>
      </c>
      <c r="B42" s="3">
        <v>100.0</v>
      </c>
      <c r="C42" s="3">
        <v>1.0</v>
      </c>
      <c r="D42" s="3">
        <v>0.00819587707519531</v>
      </c>
      <c r="E42" s="3">
        <v>8.13007354736328E-5</v>
      </c>
      <c r="F42" s="3">
        <v>1312.0</v>
      </c>
      <c r="G42" s="3">
        <v>0.0726604461669922</v>
      </c>
      <c r="H42" s="3">
        <v>1.83582305908203E-4</v>
      </c>
      <c r="I42" s="3">
        <v>2420.0</v>
      </c>
      <c r="J42" s="3">
        <v>0.00832533836364746</v>
      </c>
      <c r="K42" s="3">
        <v>8.30888748168945E-5</v>
      </c>
      <c r="L42" s="3">
        <v>0.031714</v>
      </c>
      <c r="M42" s="3">
        <v>0.03708</v>
      </c>
      <c r="N42" s="3">
        <v>0.0</v>
      </c>
    </row>
    <row r="43" ht="22.5" customHeight="1">
      <c r="A43" s="2" t="s">
        <v>22</v>
      </c>
      <c r="B43" s="3">
        <v>100.0</v>
      </c>
      <c r="C43" s="3">
        <v>2.0</v>
      </c>
      <c r="D43" s="3">
        <v>0.00831508636474609</v>
      </c>
      <c r="E43" s="3">
        <v>8.15391540527344E-5</v>
      </c>
      <c r="F43" s="3">
        <v>1312.0</v>
      </c>
      <c r="G43" s="3">
        <v>0.0730917453765869</v>
      </c>
      <c r="H43" s="3">
        <v>1.9383430480957E-4</v>
      </c>
      <c r="I43" s="3">
        <v>2420.0</v>
      </c>
      <c r="J43" s="3">
        <v>0.00841164588928223</v>
      </c>
      <c r="K43" s="3">
        <v>8.32080841064453E-5</v>
      </c>
      <c r="L43" s="3">
        <v>0.017979</v>
      </c>
      <c r="M43" s="3">
        <v>0.023345</v>
      </c>
      <c r="N43" s="3">
        <v>0.0</v>
      </c>
    </row>
    <row r="44" ht="22.5" customHeight="1">
      <c r="A44" s="2" t="s">
        <v>22</v>
      </c>
      <c r="B44" s="3">
        <v>100.0</v>
      </c>
      <c r="C44" s="3">
        <v>3.0</v>
      </c>
      <c r="D44" s="3">
        <v>0.00839662551879883</v>
      </c>
      <c r="E44" s="3">
        <v>8.10623168945313E-5</v>
      </c>
      <c r="F44" s="3">
        <v>1312.0</v>
      </c>
      <c r="G44" s="3">
        <v>0.0748908519744873</v>
      </c>
      <c r="H44" s="3">
        <v>2.01582908630371E-4</v>
      </c>
      <c r="I44" s="3">
        <v>2420.0</v>
      </c>
      <c r="J44" s="3">
        <v>0.00856590270996094</v>
      </c>
      <c r="K44" s="3">
        <v>8.29696655273438E-5</v>
      </c>
      <c r="L44" s="3">
        <v>0.018107</v>
      </c>
      <c r="M44" s="3">
        <v>0.023473</v>
      </c>
      <c r="N44" s="3">
        <v>0.0</v>
      </c>
    </row>
    <row r="45" ht="22.5" customHeight="1">
      <c r="A45" s="2" t="s">
        <v>22</v>
      </c>
      <c r="B45" s="3">
        <v>100.0</v>
      </c>
      <c r="C45" s="3">
        <v>4.0</v>
      </c>
      <c r="D45" s="3">
        <v>0.00813961029052734</v>
      </c>
      <c r="E45" s="3">
        <v>7.70092010498047E-5</v>
      </c>
      <c r="F45" s="3">
        <v>1312.0</v>
      </c>
      <c r="G45" s="3">
        <v>0.0252847671508789</v>
      </c>
      <c r="H45" s="3">
        <v>1.99675559997559E-4</v>
      </c>
      <c r="I45" s="3">
        <v>2420.0</v>
      </c>
      <c r="J45" s="3">
        <v>0.0573346614837647</v>
      </c>
      <c r="K45" s="3">
        <v>7.78436660766602E-5</v>
      </c>
      <c r="L45" s="3">
        <v>0.018427</v>
      </c>
      <c r="M45" s="3">
        <v>0.023793</v>
      </c>
      <c r="N45" s="3">
        <v>0.0</v>
      </c>
    </row>
    <row r="46" ht="22.5" customHeight="1">
      <c r="A46" s="2" t="s">
        <v>22</v>
      </c>
      <c r="B46" s="3">
        <v>100.0</v>
      </c>
      <c r="C46" s="3">
        <v>5.0</v>
      </c>
      <c r="D46" s="3">
        <v>0.00803947448730469</v>
      </c>
      <c r="E46" s="3">
        <v>7.65323638916016E-5</v>
      </c>
      <c r="F46" s="3">
        <v>1312.0</v>
      </c>
      <c r="G46" s="3">
        <v>0.0721585750579834</v>
      </c>
      <c r="H46" s="3">
        <v>1.85251235961914E-4</v>
      </c>
      <c r="I46" s="3">
        <v>2420.0</v>
      </c>
      <c r="J46" s="3">
        <v>0.00823140144348145</v>
      </c>
      <c r="K46" s="3">
        <v>7.74860382080078E-5</v>
      </c>
      <c r="L46" s="3">
        <v>0.018619</v>
      </c>
      <c r="M46" s="3">
        <v>0.023985</v>
      </c>
      <c r="N46" s="3">
        <v>0.0</v>
      </c>
    </row>
    <row r="47" ht="22.5" customHeight="1">
      <c r="A47" s="2" t="s">
        <v>23</v>
      </c>
      <c r="B47" s="3">
        <v>100.0</v>
      </c>
      <c r="C47" s="3">
        <v>1.0</v>
      </c>
      <c r="D47" s="3">
        <v>0.0199534893035889</v>
      </c>
      <c r="E47" s="3">
        <v>1.80482864379883E-4</v>
      </c>
      <c r="F47" s="3">
        <v>1952.0</v>
      </c>
      <c r="G47" s="3">
        <v>0.0463426113128662</v>
      </c>
      <c r="H47" s="3">
        <v>3.60965728759766E-4</v>
      </c>
      <c r="I47" s="3">
        <v>3293.0</v>
      </c>
      <c r="J47" s="3">
        <v>0.0179595947265625</v>
      </c>
      <c r="K47" s="3">
        <v>1.62243843078613E-4</v>
      </c>
      <c r="L47" s="3">
        <v>0.029003</v>
      </c>
      <c r="M47" s="3">
        <v>0.036115</v>
      </c>
      <c r="N47" s="3">
        <v>0.0</v>
      </c>
    </row>
    <row r="48" ht="22.5" customHeight="1">
      <c r="A48" s="2" t="s">
        <v>23</v>
      </c>
      <c r="B48" s="3">
        <v>100.0</v>
      </c>
      <c r="C48" s="3">
        <v>2.0</v>
      </c>
      <c r="D48" s="3">
        <v>0.01558518409729</v>
      </c>
      <c r="E48" s="3">
        <v>1.51634216308594E-4</v>
      </c>
      <c r="F48" s="3">
        <v>1952.0</v>
      </c>
      <c r="G48" s="3">
        <v>0.0369200706481934</v>
      </c>
      <c r="H48" s="3">
        <v>3.01599502563477E-4</v>
      </c>
      <c r="I48" s="3">
        <v>3293.0</v>
      </c>
      <c r="J48" s="3">
        <v>0.0643954277038574</v>
      </c>
      <c r="K48" s="3">
        <v>1.36494636535645E-4</v>
      </c>
      <c r="L48" s="3">
        <v>0.023556</v>
      </c>
      <c r="M48" s="3">
        <v>0.030668</v>
      </c>
      <c r="N48" s="3">
        <v>0.0</v>
      </c>
    </row>
    <row r="49" ht="22.5" customHeight="1">
      <c r="A49" s="2" t="s">
        <v>23</v>
      </c>
      <c r="B49" s="3">
        <v>100.0</v>
      </c>
      <c r="C49" s="3">
        <v>3.0</v>
      </c>
      <c r="D49" s="3">
        <v>0.0147697925567627</v>
      </c>
      <c r="E49" s="3">
        <v>1.4185905456543E-4</v>
      </c>
      <c r="F49" s="3">
        <v>1952.0</v>
      </c>
      <c r="G49" s="3">
        <v>0.0830843448638916</v>
      </c>
      <c r="H49" s="3">
        <v>2.79903411865234E-4</v>
      </c>
      <c r="I49" s="3">
        <v>3293.0</v>
      </c>
      <c r="J49" s="3">
        <v>0.013322114944458</v>
      </c>
      <c r="K49" s="3">
        <v>1.27553939819336E-4</v>
      </c>
      <c r="L49" s="3">
        <v>0.023844</v>
      </c>
      <c r="M49" s="3">
        <v>0.030956</v>
      </c>
      <c r="N49" s="3">
        <v>0.0</v>
      </c>
    </row>
    <row r="50" ht="22.5" customHeight="1">
      <c r="A50" s="2" t="s">
        <v>23</v>
      </c>
      <c r="B50" s="3">
        <v>100.0</v>
      </c>
      <c r="C50" s="3">
        <v>4.0</v>
      </c>
      <c r="D50" s="3">
        <v>0.0159885883331299</v>
      </c>
      <c r="E50" s="3">
        <v>1.60694122314453E-4</v>
      </c>
      <c r="F50" s="3">
        <v>1952.0</v>
      </c>
      <c r="G50" s="3">
        <v>0.0909171104431152</v>
      </c>
      <c r="H50" s="3">
        <v>3.40938568115234E-4</v>
      </c>
      <c r="I50" s="3">
        <v>3293.0</v>
      </c>
      <c r="J50" s="3">
        <v>0.0645325183868408</v>
      </c>
      <c r="K50" s="3">
        <v>1.47819519042969E-4</v>
      </c>
      <c r="L50" s="3">
        <v>0.020935</v>
      </c>
      <c r="M50" s="3">
        <v>0.030042</v>
      </c>
      <c r="N50" s="3">
        <v>0.0</v>
      </c>
    </row>
    <row r="51" ht="22.5" customHeight="1">
      <c r="A51" s="2" t="s">
        <v>23</v>
      </c>
      <c r="B51" s="3">
        <v>100.0</v>
      </c>
      <c r="C51" s="3">
        <v>5.0</v>
      </c>
      <c r="D51" s="3">
        <v>0.0149462223052979</v>
      </c>
      <c r="E51" s="3">
        <v>1.43289566040039E-4</v>
      </c>
      <c r="F51" s="3">
        <v>1952.0</v>
      </c>
      <c r="G51" s="3">
        <v>0.0357089042663574</v>
      </c>
      <c r="H51" s="3">
        <v>3.02553176879883E-4</v>
      </c>
      <c r="I51" s="3">
        <v>3293.0</v>
      </c>
      <c r="J51" s="3">
        <v>0.0636553764343262</v>
      </c>
      <c r="K51" s="3">
        <v>1.29818916320801E-4</v>
      </c>
      <c r="L51" s="3">
        <v>0.024602</v>
      </c>
      <c r="M51" s="3">
        <v>0.03165</v>
      </c>
      <c r="N51" s="3">
        <v>0.0</v>
      </c>
    </row>
    <row r="52" ht="22.5" customHeight="1">
      <c r="A52" s="2" t="s">
        <v>24</v>
      </c>
      <c r="B52" s="3">
        <v>100.0</v>
      </c>
      <c r="C52" s="3">
        <v>1.0</v>
      </c>
      <c r="D52" s="3">
        <v>0.0257985591888428</v>
      </c>
      <c r="E52" s="3">
        <v>2.49147415161133E-4</v>
      </c>
      <c r="F52" s="3">
        <v>2592.0</v>
      </c>
      <c r="G52" s="3">
        <v>0.106679201126099</v>
      </c>
      <c r="H52" s="3">
        <v>4.50968742370605E-4</v>
      </c>
      <c r="I52" s="3">
        <v>4595.0</v>
      </c>
      <c r="J52" s="3">
        <v>0.0257863998413086</v>
      </c>
      <c r="K52" s="3">
        <v>2.49385833740234E-4</v>
      </c>
      <c r="L52" s="3">
        <v>0.033337</v>
      </c>
      <c r="M52" s="3">
        <v>0.043053</v>
      </c>
      <c r="N52" s="3">
        <v>0.0</v>
      </c>
    </row>
    <row r="53" ht="22.5" customHeight="1">
      <c r="A53" s="2" t="s">
        <v>24</v>
      </c>
      <c r="B53" s="3">
        <v>100.0</v>
      </c>
      <c r="C53" s="3">
        <v>2.0</v>
      </c>
      <c r="D53" s="3">
        <v>0.0726487636566162</v>
      </c>
      <c r="E53" s="3">
        <v>2.26736068725586E-4</v>
      </c>
      <c r="F53" s="3">
        <v>2592.0</v>
      </c>
      <c r="G53" s="3">
        <v>0.0962049961090088</v>
      </c>
      <c r="H53" s="3">
        <v>4.26888465881348E-4</v>
      </c>
      <c r="I53" s="3">
        <v>4595.0</v>
      </c>
      <c r="J53" s="3">
        <v>0.0232017040252686</v>
      </c>
      <c r="K53" s="3">
        <v>2.21729278564453E-4</v>
      </c>
      <c r="L53" s="3">
        <v>0.026106</v>
      </c>
      <c r="M53" s="3">
        <v>0.035822</v>
      </c>
      <c r="N53" s="3">
        <v>0.0</v>
      </c>
    </row>
    <row r="54" ht="22.5" customHeight="1">
      <c r="A54" s="2" t="s">
        <v>24</v>
      </c>
      <c r="B54" s="3">
        <v>100.0</v>
      </c>
      <c r="C54" s="3">
        <v>3.0</v>
      </c>
      <c r="D54" s="3">
        <v>0.0228755474090576</v>
      </c>
      <c r="E54" s="3">
        <v>2.20537185668945E-4</v>
      </c>
      <c r="F54" s="3">
        <v>2592.0</v>
      </c>
      <c r="G54" s="3">
        <v>0.0920042991638184</v>
      </c>
      <c r="H54" s="3">
        <v>3.84330749511719E-4</v>
      </c>
      <c r="I54" s="3">
        <v>4595.0</v>
      </c>
      <c r="J54" s="3">
        <v>0.0740656852722168</v>
      </c>
      <c r="K54" s="3">
        <v>2.20417976379395E-4</v>
      </c>
      <c r="L54" s="3">
        <v>0.026394</v>
      </c>
      <c r="M54" s="3">
        <v>0.03611</v>
      </c>
      <c r="N54" s="3">
        <v>0.0</v>
      </c>
    </row>
    <row r="55" ht="22.5" customHeight="1">
      <c r="A55" s="2" t="s">
        <v>24</v>
      </c>
      <c r="B55" s="3">
        <v>100.0</v>
      </c>
      <c r="C55" s="3">
        <v>4.0</v>
      </c>
      <c r="D55" s="3">
        <v>0.0730533599853516</v>
      </c>
      <c r="E55" s="3">
        <v>2.19345092773438E-4</v>
      </c>
      <c r="F55" s="3">
        <v>2592.0</v>
      </c>
      <c r="G55" s="3">
        <v>0.0949685573577881</v>
      </c>
      <c r="H55" s="3">
        <v>4.14371490478516E-4</v>
      </c>
      <c r="I55" s="3">
        <v>4595.0</v>
      </c>
      <c r="J55" s="3">
        <v>0.0229389667510986</v>
      </c>
      <c r="K55" s="3">
        <v>2.15291976928711E-4</v>
      </c>
      <c r="L55" s="3">
        <v>0.026554</v>
      </c>
      <c r="M55" s="3">
        <v>0.03627</v>
      </c>
      <c r="N55" s="3">
        <v>0.0</v>
      </c>
    </row>
    <row r="56" ht="22.5" customHeight="1">
      <c r="A56" s="2" t="s">
        <v>24</v>
      </c>
      <c r="B56" s="3">
        <v>100.0</v>
      </c>
      <c r="C56" s="3">
        <v>5.0</v>
      </c>
      <c r="D56" s="3">
        <v>0.0230741500854492</v>
      </c>
      <c r="E56" s="3">
        <v>2.22086906433105E-4</v>
      </c>
      <c r="F56" s="3">
        <v>2592.0</v>
      </c>
      <c r="G56" s="3">
        <v>0.148029088973999</v>
      </c>
      <c r="H56" s="3">
        <v>4.4548511505127E-4</v>
      </c>
      <c r="I56" s="3">
        <v>4595.0</v>
      </c>
      <c r="J56" s="3">
        <v>0.0231940746307373</v>
      </c>
      <c r="K56" s="3">
        <v>2.25186347961426E-4</v>
      </c>
      <c r="L56" s="3">
        <v>0.026746</v>
      </c>
      <c r="M56" s="3">
        <v>0.036462</v>
      </c>
      <c r="N56" s="3">
        <v>0.0</v>
      </c>
    </row>
    <row r="57" ht="22.5" customHeight="1">
      <c r="A57" s="2" t="s">
        <v>25</v>
      </c>
      <c r="B57" s="3">
        <v>100.0</v>
      </c>
      <c r="C57" s="3">
        <v>1.0</v>
      </c>
      <c r="D57" s="3">
        <v>12.1849191188812</v>
      </c>
      <c r="E57" s="3">
        <v>0.110364079475403</v>
      </c>
      <c r="F57" s="3">
        <v>32.0</v>
      </c>
      <c r="G57" s="3">
        <v>91.2340385913849</v>
      </c>
      <c r="H57" s="3">
        <v>0.905238509178162</v>
      </c>
      <c r="I57" s="3">
        <v>7856.0</v>
      </c>
      <c r="J57" s="3">
        <v>0.0979082584381104</v>
      </c>
      <c r="K57" s="3">
        <v>4.78029251098633E-4</v>
      </c>
      <c r="L57" s="3">
        <v>0.020852</v>
      </c>
      <c r="M57" s="3">
        <v>0.03709</v>
      </c>
      <c r="N57" s="3">
        <v>0.0</v>
      </c>
    </row>
    <row r="58" ht="22.5" customHeight="1">
      <c r="A58" s="2" t="s">
        <v>25</v>
      </c>
      <c r="B58" s="3">
        <v>100.0</v>
      </c>
      <c r="C58" s="3">
        <v>2.0</v>
      </c>
      <c r="D58" s="3">
        <v>12.4445910453796</v>
      </c>
      <c r="E58" s="3">
        <v>0.114410281181335</v>
      </c>
      <c r="F58" s="3">
        <v>32.0</v>
      </c>
      <c r="G58" s="3">
        <v>94.1505937576294</v>
      </c>
      <c r="H58" s="3">
        <v>0.927120566368103</v>
      </c>
      <c r="I58" s="3">
        <v>7856.0</v>
      </c>
      <c r="J58" s="3">
        <v>0.102214813232422</v>
      </c>
      <c r="K58" s="3">
        <v>4.77194786071777E-4</v>
      </c>
      <c r="L58" s="3">
        <v>0.016471</v>
      </c>
      <c r="M58" s="3">
        <v>0.032709</v>
      </c>
      <c r="N58" s="3">
        <v>0.0</v>
      </c>
    </row>
    <row r="59" ht="22.5" customHeight="1">
      <c r="A59" s="2" t="s">
        <v>25</v>
      </c>
      <c r="B59" s="3">
        <v>100.0</v>
      </c>
      <c r="C59" s="3">
        <v>3.0</v>
      </c>
      <c r="D59" s="3">
        <v>12.3293526172638</v>
      </c>
      <c r="E59" s="3">
        <v>0.113761186599731</v>
      </c>
      <c r="F59" s="3">
        <v>32.0</v>
      </c>
      <c r="G59" s="3">
        <v>94.2641453742981</v>
      </c>
      <c r="H59" s="3">
        <v>0.927367687225342</v>
      </c>
      <c r="I59" s="3">
        <v>7856.0</v>
      </c>
      <c r="J59" s="3">
        <v>0.154532670974731</v>
      </c>
      <c r="K59" s="3">
        <v>4.89711761474609E-4</v>
      </c>
      <c r="L59" s="3">
        <v>0.018615</v>
      </c>
      <c r="M59" s="3">
        <v>0.034853</v>
      </c>
      <c r="N59" s="3">
        <v>0.0</v>
      </c>
    </row>
    <row r="60" ht="22.5" customHeight="1">
      <c r="A60" s="2" t="s">
        <v>25</v>
      </c>
      <c r="B60" s="3">
        <v>100.0</v>
      </c>
      <c r="C60" s="3">
        <v>4.0</v>
      </c>
      <c r="D60" s="3">
        <v>12.4324626922607</v>
      </c>
      <c r="E60" s="3">
        <v>0.113185167312622</v>
      </c>
      <c r="F60" s="3">
        <v>32.0</v>
      </c>
      <c r="G60" s="3">
        <v>94.2246758937836</v>
      </c>
      <c r="H60" s="3">
        <v>0.928082942962647</v>
      </c>
      <c r="I60" s="3">
        <v>7856.0</v>
      </c>
      <c r="J60" s="3">
        <v>0.0498926639556885</v>
      </c>
      <c r="K60" s="3">
        <v>4.89234924316406E-4</v>
      </c>
      <c r="L60" s="3">
        <v>0.016365</v>
      </c>
      <c r="M60" s="3">
        <v>0.032603</v>
      </c>
      <c r="N60" s="3">
        <v>0.0</v>
      </c>
    </row>
    <row r="61" ht="22.5" customHeight="1">
      <c r="A61" s="2" t="s">
        <v>25</v>
      </c>
      <c r="B61" s="3">
        <v>100.0</v>
      </c>
      <c r="C61" s="3">
        <v>5.0</v>
      </c>
      <c r="D61" s="3">
        <v>12.432079076767</v>
      </c>
      <c r="E61" s="3">
        <v>0.112900495529175</v>
      </c>
      <c r="F61" s="3">
        <v>32.0</v>
      </c>
      <c r="G61" s="3">
        <v>94.1023187637329</v>
      </c>
      <c r="H61" s="3">
        <v>0.926800966262817</v>
      </c>
      <c r="I61" s="3">
        <v>7856.0</v>
      </c>
      <c r="J61" s="3">
        <v>0.0994389057159424</v>
      </c>
      <c r="K61" s="3">
        <v>4.83512878417969E-4</v>
      </c>
      <c r="L61" s="3">
        <v>0.016791</v>
      </c>
      <c r="M61" s="3">
        <v>0.033029</v>
      </c>
      <c r="N61" s="3">
        <v>0.0</v>
      </c>
    </row>
    <row r="62" ht="22.5" customHeight="1">
      <c r="A62" s="2" t="s">
        <v>26</v>
      </c>
      <c r="B62" s="3">
        <v>100.0</v>
      </c>
      <c r="C62" s="3">
        <v>1.0</v>
      </c>
      <c r="D62" s="3">
        <v>18.0835819244385</v>
      </c>
      <c r="E62" s="3">
        <v>0.190657019615173</v>
      </c>
      <c r="F62" s="3">
        <v>48.0</v>
      </c>
      <c r="G62" s="3">
        <v>173.420180559158</v>
      </c>
      <c r="H62" s="3">
        <v>1.72438597679138</v>
      </c>
      <c r="I62" s="3">
        <v>16224.0</v>
      </c>
      <c r="J62" s="3">
        <v>0.275357246398926</v>
      </c>
      <c r="K62" s="3">
        <v>7.33256340026856E-4</v>
      </c>
      <c r="L62" s="3">
        <v>0.032899</v>
      </c>
      <c r="M62" s="3">
        <v>0.065873</v>
      </c>
      <c r="N62" s="3">
        <v>0.0</v>
      </c>
    </row>
    <row r="63" ht="22.5" customHeight="1">
      <c r="A63" s="2" t="s">
        <v>26</v>
      </c>
      <c r="B63" s="3">
        <v>100.0</v>
      </c>
      <c r="C63" s="3">
        <v>2.0</v>
      </c>
      <c r="D63" s="3">
        <v>17.9967348575592</v>
      </c>
      <c r="E63" s="3">
        <v>0.190318703651428</v>
      </c>
      <c r="F63" s="3">
        <v>48.0</v>
      </c>
      <c r="G63" s="3">
        <v>173.660248279572</v>
      </c>
      <c r="H63" s="3">
        <v>1.72725856304169</v>
      </c>
      <c r="I63" s="3">
        <v>16224.0</v>
      </c>
      <c r="J63" s="3">
        <v>0.127113819122314</v>
      </c>
      <c r="K63" s="3">
        <v>7.3850154876709E-4</v>
      </c>
      <c r="L63" s="3">
        <v>0.025783</v>
      </c>
      <c r="M63" s="3">
        <v>0.058757</v>
      </c>
      <c r="N63" s="3">
        <v>0.0</v>
      </c>
    </row>
    <row r="64" ht="22.5" customHeight="1">
      <c r="A64" s="2" t="s">
        <v>26</v>
      </c>
      <c r="B64" s="3">
        <v>100.0</v>
      </c>
      <c r="C64" s="3">
        <v>3.0</v>
      </c>
      <c r="D64" s="3">
        <v>17.9694566726685</v>
      </c>
      <c r="E64" s="3">
        <v>0.189945220947266</v>
      </c>
      <c r="F64" s="3">
        <v>48.0</v>
      </c>
      <c r="G64" s="3">
        <v>174.317815542221</v>
      </c>
      <c r="H64" s="3">
        <v>1.73239302635193</v>
      </c>
      <c r="I64" s="3">
        <v>16224.0</v>
      </c>
      <c r="J64" s="3">
        <v>0.22696852684021</v>
      </c>
      <c r="K64" s="3">
        <v>7.5221061706543E-4</v>
      </c>
      <c r="L64" s="3">
        <v>0.026103</v>
      </c>
      <c r="M64" s="3">
        <v>0.058917</v>
      </c>
      <c r="N64" s="3">
        <v>0.0</v>
      </c>
    </row>
    <row r="65" ht="22.5" customHeight="1">
      <c r="A65" s="2" t="s">
        <v>26</v>
      </c>
      <c r="B65" s="3">
        <v>100.0</v>
      </c>
      <c r="C65" s="3">
        <v>4.0</v>
      </c>
      <c r="D65" s="3">
        <v>18.0342433452606</v>
      </c>
      <c r="E65" s="3">
        <v>0.190631151199341</v>
      </c>
      <c r="F65" s="3">
        <v>48.0</v>
      </c>
      <c r="G65" s="3">
        <v>174.19801235199</v>
      </c>
      <c r="H65" s="3">
        <v>1.73005247116089</v>
      </c>
      <c r="I65" s="3">
        <v>16224.0</v>
      </c>
      <c r="J65" s="3">
        <v>0.174130201339722</v>
      </c>
      <c r="K65" s="3">
        <v>7.48753547668457E-4</v>
      </c>
      <c r="L65" s="3">
        <v>0.026295</v>
      </c>
      <c r="M65" s="3">
        <v>0.059269</v>
      </c>
      <c r="N65" s="3">
        <v>0.0</v>
      </c>
    </row>
    <row r="66" ht="22.5" customHeight="1">
      <c r="A66" s="2" t="s">
        <v>26</v>
      </c>
      <c r="B66" s="3">
        <v>100.0</v>
      </c>
      <c r="C66" s="3">
        <v>5.0</v>
      </c>
      <c r="D66" s="3">
        <v>18.4303879737854</v>
      </c>
      <c r="E66" s="3">
        <v>0.191640973091126</v>
      </c>
      <c r="F66" s="3">
        <v>48.0</v>
      </c>
      <c r="G66" s="3">
        <v>173.903061628342</v>
      </c>
      <c r="H66" s="3">
        <v>1.72786259651184</v>
      </c>
      <c r="I66" s="3">
        <v>16224.0</v>
      </c>
      <c r="J66" s="3">
        <v>0.174287080764771</v>
      </c>
      <c r="K66" s="3">
        <v>7.35282897949219E-4</v>
      </c>
      <c r="L66" s="3">
        <v>0.026519</v>
      </c>
      <c r="M66" s="3">
        <v>0.059493</v>
      </c>
      <c r="N66" s="3">
        <v>0.0</v>
      </c>
    </row>
    <row r="67" ht="22.5" customHeight="1">
      <c r="A67" s="2" t="s">
        <v>27</v>
      </c>
      <c r="B67" s="3">
        <v>100.0</v>
      </c>
      <c r="C67" s="3">
        <v>1.0</v>
      </c>
      <c r="D67" s="3">
        <v>11.8832459449768</v>
      </c>
      <c r="E67" s="3">
        <v>0.1110600233078</v>
      </c>
      <c r="F67" s="3">
        <v>64.0</v>
      </c>
      <c r="G67" s="3">
        <v>156.42369556427</v>
      </c>
      <c r="H67" s="3">
        <v>1.58243894577026</v>
      </c>
      <c r="I67" s="3">
        <v>29792.0</v>
      </c>
      <c r="J67" s="3">
        <v>0.203330993652344</v>
      </c>
      <c r="K67" s="3">
        <v>0.0010446310043335</v>
      </c>
      <c r="L67" s="3">
        <v>0.045273</v>
      </c>
      <c r="M67" s="3">
        <v>0.105383</v>
      </c>
      <c r="N67" s="3">
        <v>0.0</v>
      </c>
    </row>
    <row r="68" ht="22.5" customHeight="1">
      <c r="A68" s="2" t="s">
        <v>27</v>
      </c>
      <c r="B68" s="3">
        <v>100.0</v>
      </c>
      <c r="C68" s="3">
        <v>2.0</v>
      </c>
      <c r="D68" s="3">
        <v>12.4832425117493</v>
      </c>
      <c r="E68" s="3">
        <v>0.11287248134613</v>
      </c>
      <c r="F68" s="3">
        <v>64.0</v>
      </c>
      <c r="G68" s="3">
        <v>155.98636007309</v>
      </c>
      <c r="H68" s="3">
        <v>1.57245826721191</v>
      </c>
      <c r="I68" s="3">
        <v>29792.0</v>
      </c>
      <c r="J68" s="3">
        <v>0.210063695907593</v>
      </c>
      <c r="K68" s="3">
        <v>0.00104475021362305</v>
      </c>
      <c r="L68" s="3">
        <v>0.040711</v>
      </c>
      <c r="M68" s="3">
        <v>0.100821</v>
      </c>
      <c r="N68" s="3">
        <v>0.0</v>
      </c>
    </row>
    <row r="69" ht="22.5" customHeight="1">
      <c r="A69" s="2" t="s">
        <v>27</v>
      </c>
      <c r="B69" s="3">
        <v>100.0</v>
      </c>
      <c r="C69" s="3">
        <v>3.0</v>
      </c>
      <c r="D69" s="3">
        <v>11.230491399765</v>
      </c>
      <c r="E69" s="3">
        <v>0.110024809837341</v>
      </c>
      <c r="F69" s="3">
        <v>64.0</v>
      </c>
      <c r="G69" s="3">
        <v>157.177658081055</v>
      </c>
      <c r="H69" s="3">
        <v>1.58552026748657</v>
      </c>
      <c r="I69" s="3">
        <v>29792.0</v>
      </c>
      <c r="J69" s="3">
        <v>0.311797618865967</v>
      </c>
      <c r="K69" s="3">
        <v>0.0010761022567749</v>
      </c>
      <c r="L69" s="3">
        <v>0.03785</v>
      </c>
      <c r="M69" s="3">
        <v>0.097896</v>
      </c>
      <c r="N69" s="3">
        <v>0.0</v>
      </c>
    </row>
    <row r="70" ht="22.5" customHeight="1">
      <c r="A70" s="2" t="s">
        <v>27</v>
      </c>
      <c r="B70" s="3">
        <v>100.0</v>
      </c>
      <c r="C70" s="3">
        <v>4.0</v>
      </c>
      <c r="D70" s="3">
        <v>11.7051961421967</v>
      </c>
      <c r="E70" s="3">
        <v>0.110999464988709</v>
      </c>
      <c r="F70" s="3">
        <v>64.0</v>
      </c>
      <c r="G70" s="3">
        <v>156.731683254242</v>
      </c>
      <c r="H70" s="3">
        <v>1.58444786071777</v>
      </c>
      <c r="I70" s="3">
        <v>29792.0</v>
      </c>
      <c r="J70" s="3">
        <v>0.251042127609253</v>
      </c>
      <c r="K70" s="3">
        <v>0.00102865695953369</v>
      </c>
      <c r="L70" s="3">
        <v>0.038823</v>
      </c>
      <c r="M70" s="3">
        <v>0.098933</v>
      </c>
      <c r="N70" s="3">
        <v>0.0</v>
      </c>
    </row>
    <row r="71" ht="22.5" customHeight="1">
      <c r="A71" s="2" t="s">
        <v>27</v>
      </c>
      <c r="B71" s="3">
        <v>100.0</v>
      </c>
      <c r="C71" s="3">
        <v>5.0</v>
      </c>
      <c r="D71" s="3">
        <v>12.0376839637756</v>
      </c>
      <c r="E71" s="3">
        <v>0.111783146858215</v>
      </c>
      <c r="F71" s="3">
        <v>64.0</v>
      </c>
      <c r="G71" s="3">
        <v>156.361547470093</v>
      </c>
      <c r="H71" s="3">
        <v>1.5821145772934</v>
      </c>
      <c r="I71" s="3">
        <v>29792.0</v>
      </c>
      <c r="J71" s="3">
        <v>0.205647706985474</v>
      </c>
      <c r="K71" s="3">
        <v>0.00102484226226807</v>
      </c>
      <c r="L71" s="3">
        <v>0.038983</v>
      </c>
      <c r="M71" s="3">
        <v>0.099093</v>
      </c>
      <c r="N71" s="3">
        <v>0.0</v>
      </c>
    </row>
  </sheetData>
  <dataValidations>
    <dataValidation type="custom" allowBlank="1" showDropDown="1" sqref="B2:N7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2">
      <c r="A2" s="19" t="s">
        <v>28</v>
      </c>
    </row>
    <row r="3">
      <c r="A3" s="5" t="s">
        <v>29</v>
      </c>
      <c r="B3" s="6" t="s">
        <v>15</v>
      </c>
      <c r="C3" s="7"/>
      <c r="D3" s="6" t="s">
        <v>16</v>
      </c>
      <c r="E3" s="7"/>
      <c r="F3" s="6" t="s">
        <v>17</v>
      </c>
      <c r="G3" s="7"/>
      <c r="H3" s="6" t="s">
        <v>30</v>
      </c>
      <c r="I3" s="7"/>
      <c r="J3" s="6" t="s">
        <v>14</v>
      </c>
      <c r="K3" s="7"/>
      <c r="L3" s="6" t="s">
        <v>19</v>
      </c>
      <c r="M3" s="7"/>
    </row>
    <row r="4">
      <c r="A4" s="8"/>
      <c r="B4" s="9" t="s">
        <v>31</v>
      </c>
      <c r="C4" s="9" t="s">
        <v>32</v>
      </c>
      <c r="D4" s="9" t="s">
        <v>31</v>
      </c>
      <c r="E4" s="9" t="s">
        <v>32</v>
      </c>
      <c r="F4" s="9" t="s">
        <v>31</v>
      </c>
      <c r="G4" s="9" t="s">
        <v>32</v>
      </c>
      <c r="H4" s="9" t="s">
        <v>31</v>
      </c>
      <c r="I4" s="9" t="s">
        <v>32</v>
      </c>
      <c r="J4" s="9" t="s">
        <v>31</v>
      </c>
      <c r="K4" s="9" t="s">
        <v>32</v>
      </c>
      <c r="L4" s="9" t="s">
        <v>31</v>
      </c>
      <c r="M4" s="9" t="s">
        <v>32</v>
      </c>
    </row>
    <row r="5">
      <c r="A5" s="10" t="s">
        <v>33</v>
      </c>
      <c r="B5" s="11">
        <f>MIN(moderate!E7:E11)*1000</f>
        <v>0.02312660217</v>
      </c>
      <c r="C5" s="11">
        <f>MAX(moderate!E7:E11)*1000</f>
        <v>0.04029273987</v>
      </c>
      <c r="D5" s="11">
        <f>MIN(moderate!E12:E16)*1000</f>
        <v>0.02932548523</v>
      </c>
      <c r="E5" s="11">
        <f>MAX(moderate!E12:E16)*1000</f>
        <v>0.06783008575</v>
      </c>
      <c r="F5" s="11">
        <f>MIN(moderate!E17:E21)*1000</f>
        <v>0.03695487976</v>
      </c>
      <c r="G5" s="11">
        <f>MAX(moderate!E17:E21)*1000</f>
        <v>0.08726119995</v>
      </c>
      <c r="H5" s="11">
        <f>MIN(moderate!E22:E26)*1000</f>
        <v>0.2777576447</v>
      </c>
      <c r="I5" s="11">
        <f>MAX(moderate!E22:E26)*1000</f>
        <v>0.3006458282</v>
      </c>
      <c r="J5" s="11">
        <f>MIN(moderate!E2:E6)*1000</f>
        <v>11.73233986</v>
      </c>
      <c r="K5" s="11">
        <f>MAX(moderate!E2:E6)*1000</f>
        <v>11.86978817</v>
      </c>
      <c r="L5" s="11">
        <f>MIN(moderate!E27:E31)*1000</f>
        <v>0.04529953003</v>
      </c>
      <c r="M5" s="11">
        <f>MAX(moderate!E27:E31)*1000</f>
        <v>0.05626678467</v>
      </c>
    </row>
    <row r="6">
      <c r="A6" s="10" t="s">
        <v>34</v>
      </c>
      <c r="B6" s="11">
        <f>MIN(moderate!G$7:G$11)*1000</f>
        <v>2.568244934</v>
      </c>
      <c r="C6" s="11">
        <f>MAX(moderate!G$7:G$11)*1000</f>
        <v>5.453109741</v>
      </c>
      <c r="D6" s="11">
        <f>MIN(moderate!G$12:G$16)*1000</f>
        <v>3.072500229</v>
      </c>
      <c r="E6" s="11">
        <f>MAX(moderate!G$12:G$16)*1000</f>
        <v>7.302522659</v>
      </c>
      <c r="F6" s="11">
        <f>MIN(moderate!G$17:G$21)*1000</f>
        <v>4.083633423</v>
      </c>
      <c r="G6" s="11">
        <f>MAX(moderate!G$17:G$21)*1000</f>
        <v>9.171724319</v>
      </c>
      <c r="H6" s="11">
        <f>MIN(moderate!G$22:G$26)*1000</f>
        <v>60.20140648</v>
      </c>
      <c r="I6" s="11">
        <f>MAX(moderate!G$22:G$26)*1000</f>
        <v>152.0762444</v>
      </c>
      <c r="J6" s="11">
        <f>MIN(moderate!G$2:G$6)*1000</f>
        <v>112.7409935</v>
      </c>
      <c r="K6" s="11">
        <f>MAX(moderate!G$2:G$6)*1000</f>
        <v>214.3018246</v>
      </c>
      <c r="L6" s="11">
        <f>MIN(moderate!G$27:G$31)*1000</f>
        <v>8.512496948</v>
      </c>
      <c r="M6" s="11">
        <f>MAX(moderate!G$27:G$31)*1000</f>
        <v>58.30287933</v>
      </c>
    </row>
    <row r="7">
      <c r="A7" s="10" t="s">
        <v>35</v>
      </c>
      <c r="B7" s="11">
        <f>MIN(moderate!J$7:J$11)*1000</f>
        <v>2.426624298</v>
      </c>
      <c r="C7" s="11">
        <f>MAX(moderate!J$7:J$11)*1000</f>
        <v>4.967927933</v>
      </c>
      <c r="D7" s="11">
        <f>MIN(moderate!J$12:J$16)*1000</f>
        <v>3.076553345</v>
      </c>
      <c r="E7" s="11">
        <f>MAX(moderate!J$12:J$16)*1000</f>
        <v>7.435560226</v>
      </c>
      <c r="F7" s="11">
        <f>MIN(moderate!J$17:J$21)*1000</f>
        <v>4.235029221</v>
      </c>
      <c r="G7" s="11">
        <f>MAX(moderate!J$17:J$21)*1000</f>
        <v>9.288787842</v>
      </c>
      <c r="H7" s="11">
        <f>MIN(moderate!J$22:J$26)*1000</f>
        <v>51.94807053</v>
      </c>
      <c r="I7" s="11">
        <f>MAX(moderate!J$22:J$26)*1000</f>
        <v>106.4565182</v>
      </c>
      <c r="J7" s="11">
        <f>MIN(moderate!J$2:J$6)*1000</f>
        <v>1796.165943</v>
      </c>
      <c r="K7" s="11">
        <f>MAX(moderate!J$2:J$6)*1000</f>
        <v>1902.925253</v>
      </c>
      <c r="L7" s="11">
        <f>MIN(moderate!J$27:J$31)*1000</f>
        <v>4.118919373</v>
      </c>
      <c r="M7" s="11">
        <f>MAX(moderate!J$27:J$31)*1000</f>
        <v>4.979848862</v>
      </c>
    </row>
    <row r="8">
      <c r="A8" s="10" t="s">
        <v>36</v>
      </c>
      <c r="B8" s="12">
        <f>moderate!F7</f>
        <v>800</v>
      </c>
      <c r="C8" s="7"/>
      <c r="D8" s="12">
        <f>moderate!F12</f>
        <v>1184</v>
      </c>
      <c r="E8" s="7"/>
      <c r="F8" s="12">
        <f>moderate!F17</f>
        <v>1568</v>
      </c>
      <c r="G8" s="7"/>
      <c r="H8" s="13">
        <f>moderate!F22</f>
        <v>9616</v>
      </c>
      <c r="I8" s="7"/>
      <c r="J8" s="12">
        <f>moderate!F2</f>
        <v>1541</v>
      </c>
      <c r="K8" s="7"/>
      <c r="L8" s="12">
        <f>moderate!F27</f>
        <v>32</v>
      </c>
      <c r="M8" s="7"/>
    </row>
    <row r="9">
      <c r="A9" s="10" t="s">
        <v>37</v>
      </c>
      <c r="B9" s="12">
        <f>moderate!I8</f>
        <v>768</v>
      </c>
      <c r="C9" s="7"/>
      <c r="D9" s="12">
        <f>moderate!I13</f>
        <v>1088</v>
      </c>
      <c r="E9" s="7"/>
      <c r="F9" s="12">
        <f>moderate!I18</f>
        <v>1568</v>
      </c>
      <c r="G9" s="7"/>
      <c r="H9" s="13">
        <f>moderate!I23</f>
        <v>9720</v>
      </c>
      <c r="I9" s="7"/>
      <c r="J9" s="12">
        <f>moderate!I3</f>
        <v>1573</v>
      </c>
      <c r="K9" s="7"/>
      <c r="L9" s="12">
        <f>moderate!I28</f>
        <v>32</v>
      </c>
      <c r="M9" s="7"/>
    </row>
    <row r="10">
      <c r="A10" s="10" t="s">
        <v>38</v>
      </c>
      <c r="B10" s="11">
        <f>MIN(moderate!M$7:M$11)*1024</f>
        <v>18.116608</v>
      </c>
      <c r="C10" s="11">
        <f>MAX(moderate!M$7:M$11)*1024</f>
        <v>28.602368</v>
      </c>
      <c r="D10" s="11">
        <f>MIN(moderate!M$12:M$16)*1024</f>
        <v>20.475904</v>
      </c>
      <c r="E10" s="11">
        <f>MAX(moderate!M$12:M$16)*1024</f>
        <v>28.879872</v>
      </c>
      <c r="F10" s="11">
        <f>MIN(moderate!M$17:M$21)*1024</f>
        <v>23.619584</v>
      </c>
      <c r="G10" s="11">
        <f>MAX(moderate!M$17:M$21)*1024</f>
        <v>28.676096</v>
      </c>
      <c r="H10" s="11">
        <f>MIN(moderate!M$22:M$26)*1024</f>
        <v>100.20864</v>
      </c>
      <c r="I10" s="11">
        <f>MAX(moderate!M$22:M$26)*1024</f>
        <v>110.017536</v>
      </c>
      <c r="J10" s="11">
        <f>MIN(moderate!M$2:M$6)*1024</f>
        <v>30.44352</v>
      </c>
      <c r="K10" s="11">
        <f>MAX(moderate!M$2:M$6)*1024</f>
        <v>44.312576</v>
      </c>
      <c r="L10" s="11">
        <f>MIN(moderate!M$27:M$31)*1024</f>
        <v>9.007104</v>
      </c>
      <c r="M10" s="11">
        <f>MAX(moderate!M$27:M$31)*1024</f>
        <v>293.63712</v>
      </c>
    </row>
    <row r="11">
      <c r="A11" s="10" t="s">
        <v>39</v>
      </c>
      <c r="B11" s="12">
        <f>SUM(moderate!B7:B11)/SUM(moderate!D7:D11)</f>
        <v>31078.58741</v>
      </c>
      <c r="C11" s="7"/>
      <c r="D11" s="12">
        <f>SUM(moderate!B12:B16)/SUM(moderate!D12:D16)</f>
        <v>22981.98396</v>
      </c>
      <c r="E11" s="7"/>
      <c r="F11" s="12">
        <f>SUM(moderate!B17:B21)/SUM(moderate!D17:D21)</f>
        <v>6546.623754</v>
      </c>
      <c r="G11" s="7"/>
      <c r="H11" s="13">
        <f>SUM(moderate!B22:B26)/SUM(moderate!D22:D26)</f>
        <v>1417.21388</v>
      </c>
      <c r="I11" s="7"/>
      <c r="J11" s="12">
        <f>SUM(moderate!B2:B6)/SUM(moderate!D2:D6)</f>
        <v>42.05388816</v>
      </c>
      <c r="K11" s="7"/>
      <c r="L11" s="12">
        <f>SUM(moderate!B27:B31)/SUM(moderate!D27:D31)</f>
        <v>6297.980708</v>
      </c>
      <c r="M11" s="7"/>
    </row>
    <row r="12">
      <c r="A12" s="10" t="s">
        <v>51</v>
      </c>
      <c r="B12" s="20">
        <v>0.0</v>
      </c>
      <c r="C12" s="7"/>
      <c r="D12" s="20">
        <v>0.0</v>
      </c>
      <c r="E12" s="7"/>
      <c r="F12" s="20">
        <v>0.0</v>
      </c>
      <c r="G12" s="7"/>
      <c r="H12" s="20">
        <v>0.0</v>
      </c>
      <c r="I12" s="7"/>
      <c r="J12" s="20">
        <v>0.0</v>
      </c>
      <c r="K12" s="7"/>
      <c r="L12" s="20">
        <v>0.0</v>
      </c>
      <c r="M12" s="7"/>
    </row>
    <row r="13">
      <c r="A13" s="10" t="s">
        <v>52</v>
      </c>
      <c r="B13" s="21">
        <f>((recapunconstrained!B11-B11)/recapunconstrained!B11)</f>
        <v>-0.06773959306</v>
      </c>
      <c r="C13" s="7"/>
      <c r="D13" s="21">
        <f>((recapunconstrained!D11-D11)/recapunconstrained!D11)</f>
        <v>0.002761583308</v>
      </c>
      <c r="E13" s="7"/>
      <c r="F13" s="21">
        <f>((recapunconstrained!F11-F11)/recapunconstrained!F11)</f>
        <v>0.6615325544</v>
      </c>
      <c r="G13" s="7"/>
      <c r="H13" s="21">
        <f>((recapunconstrained!H11-H11)/recapunconstrained!H11)</f>
        <v>0.6527165352</v>
      </c>
      <c r="I13" s="7"/>
      <c r="J13" s="21">
        <f>((recapunconstrained!J11-J11)/recapunconstrained!J11)</f>
        <v>0.5866008778</v>
      </c>
      <c r="K13" s="7"/>
      <c r="L13" s="21">
        <f>((recapunconstrained!L11-L11)/recapunconstrained!L11)</f>
        <v>0.7268309969</v>
      </c>
      <c r="M13" s="7"/>
    </row>
    <row r="14">
      <c r="A14" s="19" t="s">
        <v>40</v>
      </c>
    </row>
    <row r="15">
      <c r="A15" s="5" t="s">
        <v>29</v>
      </c>
      <c r="B15" s="6" t="s">
        <v>41</v>
      </c>
      <c r="C15" s="7"/>
      <c r="D15" s="6" t="s">
        <v>42</v>
      </c>
      <c r="E15" s="7"/>
      <c r="F15" s="6" t="s">
        <v>43</v>
      </c>
      <c r="G15" s="7"/>
      <c r="H15" s="6" t="s">
        <v>44</v>
      </c>
      <c r="I15" s="7"/>
      <c r="J15" s="6" t="s">
        <v>45</v>
      </c>
      <c r="K15" s="7"/>
      <c r="L15" s="6" t="s">
        <v>46</v>
      </c>
      <c r="M15" s="7"/>
      <c r="N15" s="6" t="s">
        <v>47</v>
      </c>
      <c r="O15" s="7"/>
      <c r="P15" s="6" t="s">
        <v>21</v>
      </c>
      <c r="Q15" s="7"/>
    </row>
    <row r="16">
      <c r="A16" s="8"/>
      <c r="B16" s="9" t="s">
        <v>31</v>
      </c>
      <c r="C16" s="9" t="s">
        <v>32</v>
      </c>
      <c r="D16" s="9" t="s">
        <v>31</v>
      </c>
      <c r="E16" s="9" t="s">
        <v>32</v>
      </c>
      <c r="F16" s="9" t="s">
        <v>31</v>
      </c>
      <c r="G16" s="9" t="s">
        <v>32</v>
      </c>
      <c r="H16" s="9" t="s">
        <v>31</v>
      </c>
      <c r="I16" s="9" t="s">
        <v>32</v>
      </c>
      <c r="J16" s="9" t="s">
        <v>31</v>
      </c>
      <c r="K16" s="9" t="s">
        <v>32</v>
      </c>
      <c r="L16" s="9" t="s">
        <v>31</v>
      </c>
      <c r="M16" s="9" t="s">
        <v>32</v>
      </c>
      <c r="N16" s="14" t="s">
        <v>31</v>
      </c>
      <c r="O16" s="14" t="s">
        <v>32</v>
      </c>
      <c r="P16" s="14" t="s">
        <v>31</v>
      </c>
      <c r="Q16" s="14" t="s">
        <v>32</v>
      </c>
    </row>
    <row r="17">
      <c r="A17" s="10" t="s">
        <v>33</v>
      </c>
      <c r="B17" s="11">
        <f>MIN(moderate!E$42:E$46)*1000</f>
        <v>0.07653236389</v>
      </c>
      <c r="C17" s="11">
        <f>MAX(moderate!E$42:E$46)*1000</f>
        <v>0.08153915405</v>
      </c>
      <c r="D17" s="11">
        <f>MIN(moderate!E$47:E$51)*1000</f>
        <v>0.1418590546</v>
      </c>
      <c r="E17" s="11">
        <f>MAX(moderate!E$47:E$51)*1000</f>
        <v>0.1804828644</v>
      </c>
      <c r="F17" s="11">
        <f>MIN(moderate!E$52:E$56)*1000</f>
        <v>0.2193450928</v>
      </c>
      <c r="G17" s="11">
        <f>MAX(moderate!E$52:E$56)*1000</f>
        <v>0.2491474152</v>
      </c>
      <c r="H17" s="11">
        <f>MIN(moderate!E$57:E$61)*1000</f>
        <v>110.3640795</v>
      </c>
      <c r="I17" s="11">
        <f>MAX(moderate!E$57:E$61)*1000</f>
        <v>114.4102812</v>
      </c>
      <c r="J17" s="11">
        <f>MIN(moderate!E$62:E$66)*1000</f>
        <v>189.9452209</v>
      </c>
      <c r="K17" s="11">
        <f>MAX(moderate!E$62:E$66)*1000</f>
        <v>191.6409731</v>
      </c>
      <c r="L17" s="11">
        <f>MIN(moderate!E$67:E$71)*1000</f>
        <v>110.0248098</v>
      </c>
      <c r="M17" s="11">
        <f>MAX(moderate!E$67:E$71)*1000</f>
        <v>112.8724813</v>
      </c>
      <c r="N17" s="11">
        <f>MIN(moderate!E32:E36)*1000</f>
        <v>0.05030632019</v>
      </c>
      <c r="O17" s="11">
        <f>MAX(moderate!E32:E36)*1000</f>
        <v>0.06580352783</v>
      </c>
      <c r="P17" s="11">
        <f>MIN(moderate!E$32:E$36)*1000</f>
        <v>0.05030632019</v>
      </c>
      <c r="Q17" s="11">
        <f>MAX(moderate!E$32:E$36)*1000</f>
        <v>0.06580352783</v>
      </c>
    </row>
    <row r="18">
      <c r="A18" s="10" t="s">
        <v>48</v>
      </c>
      <c r="B18" s="11">
        <f>MIN(moderate!G$42:G$46)*1000</f>
        <v>25.28476715</v>
      </c>
      <c r="C18" s="11">
        <f>MAX(moderate!G$42:G$46)*1000</f>
        <v>74.89085197</v>
      </c>
      <c r="D18" s="11">
        <f>MIN(moderate!G$47:G$51)*1000</f>
        <v>35.70890427</v>
      </c>
      <c r="E18" s="11">
        <f>MAX(moderate!G$47:G$51)*1000</f>
        <v>90.91711044</v>
      </c>
      <c r="F18" s="11">
        <f>MIN(moderate!G$52:G$56)*1000</f>
        <v>92.00429916</v>
      </c>
      <c r="G18" s="11">
        <f>MAX(moderate!G$52:G$56)*1000</f>
        <v>148.029089</v>
      </c>
      <c r="H18" s="11">
        <f>MIN(moderate!G$57:G$61)*1000</f>
        <v>91234.03859</v>
      </c>
      <c r="I18" s="11">
        <f>MAX(moderate!G$57:G$61)*1000</f>
        <v>94264.14537</v>
      </c>
      <c r="J18" s="11">
        <f>MIN(moderate!G$62:G$66)*1000</f>
        <v>173420.1806</v>
      </c>
      <c r="K18" s="11">
        <f>MAX(moderate!G$62:G$66)*1000</f>
        <v>174317.8155</v>
      </c>
      <c r="L18" s="11">
        <f>MIN(moderate!G$67:G$71)*1000</f>
        <v>155986.3601</v>
      </c>
      <c r="M18" s="11">
        <f>MAX(moderate!G$67:G$71)*1000</f>
        <v>157177.6581</v>
      </c>
      <c r="N18" s="11">
        <f>Min(moderate!H32:H36)*1000</f>
        <v>0.04267692566</v>
      </c>
      <c r="O18" s="11">
        <f>MAX(moderate!H32:H36)*1000</f>
        <v>0.05340576172</v>
      </c>
      <c r="P18" s="11">
        <f>MIN(moderate!G$32:G$36)*1000</f>
        <v>4.39620018</v>
      </c>
      <c r="Q18" s="11">
        <f>MAX(moderate!G$32:G$36)*1000</f>
        <v>5.534648895</v>
      </c>
    </row>
    <row r="19">
      <c r="A19" s="10" t="s">
        <v>49</v>
      </c>
      <c r="B19" s="11">
        <f>MIN(moderate!J$42:J$46)*1000</f>
        <v>8.231401443</v>
      </c>
      <c r="C19" s="11">
        <f>MAX(moderate!J$42:J$46)*1000</f>
        <v>57.33466148</v>
      </c>
      <c r="D19" s="11">
        <f>MIN(moderate!J$47:J$51)*1000</f>
        <v>13.32211494</v>
      </c>
      <c r="E19" s="11">
        <f>MAX(moderate!J$47:J$51)*1000</f>
        <v>64.53251839</v>
      </c>
      <c r="F19" s="11">
        <f>MIN(moderate!J$52:J$56)*1000</f>
        <v>22.93896675</v>
      </c>
      <c r="G19" s="11">
        <f>MAX(moderate!J$52:J$56)*1000</f>
        <v>74.06568527</v>
      </c>
      <c r="H19" s="11">
        <f>MIN(moderate!J$57:J$61)*1000</f>
        <v>49.89266396</v>
      </c>
      <c r="I19" s="11">
        <f>MAX(moderate!J$57:J$61)*1000</f>
        <v>154.532671</v>
      </c>
      <c r="J19" s="11">
        <f>MIN(moderate!J$62:J$66)*1000</f>
        <v>127.1138191</v>
      </c>
      <c r="K19" s="11">
        <f>MAX(moderate!J$62:J$66)*1000</f>
        <v>275.3572464</v>
      </c>
      <c r="L19" s="11">
        <f>MIN(moderate!J$67:J$71)*1000</f>
        <v>203.3309937</v>
      </c>
      <c r="M19" s="11">
        <f>MAX(moderate!J$67:J$71)*1000</f>
        <v>311.7976189</v>
      </c>
      <c r="N19" s="11">
        <f>Min(moderate!K32:K36)*1000</f>
        <v>0.08130073547</v>
      </c>
      <c r="O19" s="11">
        <f>MAX(moderate!K32:K36)*1000</f>
        <v>0.109910965</v>
      </c>
      <c r="P19" s="11">
        <f>MIN(moderate!J$32:J$36)*1000</f>
        <v>8.35108757</v>
      </c>
      <c r="Q19" s="11">
        <f>MAX(moderate!J$32:J$36)*1000</f>
        <v>59.65781212</v>
      </c>
    </row>
    <row r="20">
      <c r="A20" s="10" t="s">
        <v>36</v>
      </c>
      <c r="B20" s="12">
        <f>moderate!F42</f>
        <v>1312</v>
      </c>
      <c r="C20" s="7"/>
      <c r="D20" s="12">
        <f>moderate!F47</f>
        <v>1952</v>
      </c>
      <c r="E20" s="7"/>
      <c r="F20" s="12">
        <f>moderate!F52</f>
        <v>2592</v>
      </c>
      <c r="G20" s="7"/>
      <c r="H20" s="13">
        <f>moderate!F57</f>
        <v>32</v>
      </c>
      <c r="I20" s="7"/>
      <c r="J20" s="12">
        <f>moderate!F62</f>
        <v>48</v>
      </c>
      <c r="K20" s="7"/>
      <c r="L20" s="12">
        <f>moderate!F67</f>
        <v>64</v>
      </c>
      <c r="M20" s="7"/>
      <c r="N20" s="12">
        <f>moderate!F32</f>
        <v>178</v>
      </c>
      <c r="O20" s="7"/>
      <c r="P20" s="15">
        <f>moderate!F37</f>
        <v>451</v>
      </c>
      <c r="Q20" s="7"/>
    </row>
    <row r="21">
      <c r="A21" s="10" t="s">
        <v>37</v>
      </c>
      <c r="B21" s="12">
        <f>moderate!I43</f>
        <v>2420</v>
      </c>
      <c r="C21" s="7"/>
      <c r="D21" s="12">
        <f>moderate!I48</f>
        <v>3293</v>
      </c>
      <c r="E21" s="7"/>
      <c r="F21" s="12">
        <f>moderate!I53</f>
        <v>4595</v>
      </c>
      <c r="G21" s="7"/>
      <c r="H21" s="13">
        <f>moderate!I58</f>
        <v>7856</v>
      </c>
      <c r="I21" s="7"/>
      <c r="J21" s="12">
        <f>moderate!I63</f>
        <v>16224</v>
      </c>
      <c r="K21" s="7"/>
      <c r="L21" s="12">
        <f>moderate!I68</f>
        <v>29792</v>
      </c>
      <c r="M21" s="7"/>
      <c r="N21" s="12">
        <f>moderate!I32</f>
        <v>71</v>
      </c>
      <c r="O21" s="7"/>
      <c r="P21" s="15">
        <f>moderate!I38</f>
        <v>256</v>
      </c>
      <c r="Q21" s="7"/>
    </row>
    <row r="22">
      <c r="A22" s="10" t="s">
        <v>38</v>
      </c>
      <c r="B22" s="11">
        <f>MIN(moderate!M$42:M$46)*1024</f>
        <v>23.90528</v>
      </c>
      <c r="C22" s="11">
        <f>MAX(moderate!M$42:M$46)*1024</f>
        <v>37.96992</v>
      </c>
      <c r="D22" s="11">
        <f>MIN(moderate!M$47:M$51)*1024</f>
        <v>30.763008</v>
      </c>
      <c r="E22" s="11">
        <f>MAX(moderate!M$47:M$51)*1024</f>
        <v>36.98176</v>
      </c>
      <c r="F22" s="11">
        <f>MIN(moderate!M$52:M$56)*1024</f>
        <v>36.681728</v>
      </c>
      <c r="G22" s="11">
        <f>MAX(moderate!M$52:M$56)*1024</f>
        <v>44.086272</v>
      </c>
      <c r="H22" s="11">
        <f>MIN(moderate!M$57:M$61)*1024</f>
        <v>33.385472</v>
      </c>
      <c r="I22" s="11">
        <f>MAX(moderate!M$57:M$61)*1024</f>
        <v>37.98016</v>
      </c>
      <c r="J22" s="11">
        <f>MIN(moderate!M$62:M$66)*1024</f>
        <v>60.167168</v>
      </c>
      <c r="K22" s="11">
        <f>MAX(moderate!M$62:M$66)*1024</f>
        <v>67.453952</v>
      </c>
      <c r="L22" s="11">
        <f>MIN(moderate!M$67:M$71)*1024</f>
        <v>100.245504</v>
      </c>
      <c r="M22" s="11">
        <f>MAX(moderate!M$67:M$71)*1024</f>
        <v>107.912192</v>
      </c>
      <c r="N22" s="11">
        <f>MIN(moderate!M32:M36)</f>
        <v>0.010193</v>
      </c>
      <c r="O22" s="11">
        <f>MIN(moderate!M32:M36)</f>
        <v>0.010193</v>
      </c>
      <c r="P22" s="11">
        <f>MIN(moderate!M$32:M$36)*1024</f>
        <v>10.437632</v>
      </c>
      <c r="Q22" s="11">
        <f>MAX(moderate!M$32:M$36)*1024</f>
        <v>22.29248</v>
      </c>
    </row>
    <row r="23">
      <c r="A23" s="10" t="s">
        <v>39</v>
      </c>
      <c r="B23" s="12">
        <f>SUM(moderate!B42:B46)/SUM(moderate!D42:D46)</f>
        <v>12169.39593</v>
      </c>
      <c r="C23" s="7"/>
      <c r="D23" s="12">
        <f>SUM(moderate!B47:B51)/SUM(moderate!D47:D51)</f>
        <v>6154.355424</v>
      </c>
      <c r="E23" s="7"/>
      <c r="F23" s="12">
        <f>SUM(moderate!B52:B56)/SUM(moderate!D52:D56)</f>
        <v>2299.375146</v>
      </c>
      <c r="G23" s="7"/>
      <c r="H23" s="13">
        <f>SUM(moderate!B57:B61)/SUM(moderate!D57:D61)</f>
        <v>8.087552014</v>
      </c>
      <c r="I23" s="7"/>
      <c r="J23" s="12">
        <f>SUM(moderate!B62:B66)/SUM(moderate!D62:D66)</f>
        <v>5.523982633</v>
      </c>
      <c r="K23" s="7"/>
      <c r="L23" s="12">
        <f>SUM(moderate!B67:B71)/SUM(moderate!D67:D71)</f>
        <v>8.426039433</v>
      </c>
      <c r="M23" s="7"/>
      <c r="N23" s="12">
        <f>SUM(moderate!B32:B36)/SUM(moderate!D32:D36)</f>
        <v>17034.92027</v>
      </c>
      <c r="O23" s="7"/>
      <c r="P23" s="16">
        <f>SUM(moderate!B37:B41)/SUM(moderate!D37:D41)</f>
        <v>9.702424071</v>
      </c>
      <c r="Q23" s="7"/>
    </row>
    <row r="24">
      <c r="A24" s="10" t="s">
        <v>51</v>
      </c>
      <c r="B24" s="20">
        <v>0.0</v>
      </c>
      <c r="C24" s="7"/>
      <c r="D24" s="20">
        <v>0.0</v>
      </c>
      <c r="E24" s="7"/>
      <c r="F24" s="20">
        <v>0.0</v>
      </c>
      <c r="G24" s="7"/>
      <c r="H24" s="20">
        <v>0.0</v>
      </c>
      <c r="I24" s="7"/>
      <c r="J24" s="20">
        <v>0.0</v>
      </c>
      <c r="K24" s="7"/>
      <c r="L24" s="20">
        <v>0.0</v>
      </c>
      <c r="M24" s="7"/>
      <c r="N24" s="20">
        <v>0.0</v>
      </c>
      <c r="O24" s="7"/>
      <c r="P24" s="20">
        <v>0.0</v>
      </c>
      <c r="Q24" s="7"/>
    </row>
    <row r="25">
      <c r="A25" s="10" t="s">
        <v>52</v>
      </c>
      <c r="B25" s="21">
        <f>((recapunconstrained!B23-B23)/recapunconstrained!B23)</f>
        <v>0.1867115418</v>
      </c>
      <c r="C25" s="7"/>
      <c r="D25" s="21">
        <f>((recapunconstrained!D23-D23)/recapunconstrained!D23)</f>
        <v>0.1353918752</v>
      </c>
      <c r="E25" s="7"/>
      <c r="F25" s="21">
        <f>((recapunconstrained!F23-F23)/recapunconstrained!F23)</f>
        <v>0.5399083167</v>
      </c>
      <c r="G25" s="7"/>
      <c r="H25" s="21">
        <f>((recapunconstrained!H23-H23)/recapunconstrained!H23)</f>
        <v>0.5964206256</v>
      </c>
      <c r="I25" s="7"/>
      <c r="J25" s="21">
        <f>((recapunconstrained!J23-J23)/recapunconstrained!J23)</f>
        <v>0.5447850838</v>
      </c>
      <c r="K25" s="7"/>
      <c r="L25" s="21">
        <f>((recapunconstrained!L23-L23)/recapunconstrained!L23)</f>
        <v>0.5233204979</v>
      </c>
      <c r="M25" s="7"/>
      <c r="N25" s="21">
        <f>((recapunconstrained!N23-N23)/recapunconstrained!N23)</f>
        <v>0.134937332</v>
      </c>
      <c r="O25" s="7"/>
      <c r="P25" s="21">
        <f>((recapunconstrained!P23-P23)/recapunconstrained!P23)</f>
        <v>0.6177735313</v>
      </c>
      <c r="Q25" s="7"/>
    </row>
    <row r="28">
      <c r="A28" s="17" t="s">
        <v>50</v>
      </c>
      <c r="B28" s="18">
        <f>SUM(SUM(Table2[generate_total_time]), SUM(Table2[encapsulate_total_time]), SUM(Table2[decapsulate_total_time])) / 60</f>
        <v>40.21931272</v>
      </c>
    </row>
    <row r="29">
      <c r="A29" s="8"/>
      <c r="B29" s="8"/>
    </row>
  </sheetData>
  <mergeCells count="88">
    <mergeCell ref="J15:K15"/>
    <mergeCell ref="L15:M15"/>
    <mergeCell ref="N15:O15"/>
    <mergeCell ref="P15:Q15"/>
    <mergeCell ref="B13:C13"/>
    <mergeCell ref="D13:E13"/>
    <mergeCell ref="F13:G13"/>
    <mergeCell ref="H13:I13"/>
    <mergeCell ref="J13:K13"/>
    <mergeCell ref="L13:M13"/>
    <mergeCell ref="A15:A16"/>
    <mergeCell ref="F15:G15"/>
    <mergeCell ref="H15:I15"/>
    <mergeCell ref="B15:C15"/>
    <mergeCell ref="D15:E15"/>
    <mergeCell ref="B20:C20"/>
    <mergeCell ref="D20:E20"/>
    <mergeCell ref="F20:G20"/>
    <mergeCell ref="H20:I20"/>
    <mergeCell ref="J20:K20"/>
    <mergeCell ref="D23:E23"/>
    <mergeCell ref="F23:G23"/>
    <mergeCell ref="H23:I23"/>
    <mergeCell ref="J23:K23"/>
    <mergeCell ref="L23:M23"/>
    <mergeCell ref="N23:O23"/>
    <mergeCell ref="P23:Q23"/>
    <mergeCell ref="N24:O24"/>
    <mergeCell ref="P24:Q24"/>
    <mergeCell ref="B25:C25"/>
    <mergeCell ref="D25:E25"/>
    <mergeCell ref="F25:G25"/>
    <mergeCell ref="H25:I25"/>
    <mergeCell ref="J25:K25"/>
    <mergeCell ref="L25:M25"/>
    <mergeCell ref="N25:O25"/>
    <mergeCell ref="P25:Q25"/>
    <mergeCell ref="A28:A29"/>
    <mergeCell ref="B28:B29"/>
    <mergeCell ref="B23:C23"/>
    <mergeCell ref="B24:C24"/>
    <mergeCell ref="D24:E24"/>
    <mergeCell ref="F24:G24"/>
    <mergeCell ref="H24:I24"/>
    <mergeCell ref="J24:K24"/>
    <mergeCell ref="L24:M24"/>
    <mergeCell ref="A3:A4"/>
    <mergeCell ref="B3:C3"/>
    <mergeCell ref="D3:E3"/>
    <mergeCell ref="F3:G3"/>
    <mergeCell ref="H3:I3"/>
    <mergeCell ref="J3:K3"/>
    <mergeCell ref="L3:M3"/>
    <mergeCell ref="H9:I9"/>
    <mergeCell ref="J9:K9"/>
    <mergeCell ref="B8:C8"/>
    <mergeCell ref="D8:E8"/>
    <mergeCell ref="F8:G8"/>
    <mergeCell ref="H8:I8"/>
    <mergeCell ref="J8:K8"/>
    <mergeCell ref="L8:M8"/>
    <mergeCell ref="B9:C9"/>
    <mergeCell ref="L9:M9"/>
    <mergeCell ref="D9:E9"/>
    <mergeCell ref="F9:G9"/>
    <mergeCell ref="D11:E11"/>
    <mergeCell ref="F11:G11"/>
    <mergeCell ref="H11:I11"/>
    <mergeCell ref="J11:K11"/>
    <mergeCell ref="L11:M11"/>
    <mergeCell ref="B11:C11"/>
    <mergeCell ref="B12:C12"/>
    <mergeCell ref="D12:E12"/>
    <mergeCell ref="F12:G12"/>
    <mergeCell ref="H12:I12"/>
    <mergeCell ref="J12:K12"/>
    <mergeCell ref="L12:M12"/>
    <mergeCell ref="L20:M20"/>
    <mergeCell ref="N20:O20"/>
    <mergeCell ref="P20:Q20"/>
    <mergeCell ref="B21:C21"/>
    <mergeCell ref="D21:E21"/>
    <mergeCell ref="F21:G21"/>
    <mergeCell ref="H21:I21"/>
    <mergeCell ref="J21:K21"/>
    <mergeCell ref="L21:M21"/>
    <mergeCell ref="N21:O21"/>
    <mergeCell ref="P21:Q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15.88"/>
    <col customWidth="1" min="3" max="3" width="16.0"/>
    <col customWidth="1" min="4" max="4" width="23.63"/>
    <col customWidth="1" min="5" max="5" width="25.75"/>
    <col customWidth="1" min="6" max="6" width="20.38"/>
    <col customWidth="1" min="7" max="7" width="26.13"/>
    <col customWidth="1" min="8" max="8" width="28.25"/>
    <col customWidth="1" min="9" max="9" width="20.13"/>
    <col customWidth="1" min="10" max="10" width="26.13"/>
    <col customWidth="1" min="11" max="11" width="28.25"/>
    <col customWidth="1" min="12" max="12" width="24.25"/>
    <col customWidth="1" min="13" max="13" width="22.38"/>
    <col customWidth="1" min="14" max="14" width="17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 t="s">
        <v>14</v>
      </c>
      <c r="B2" s="3">
        <v>100.0</v>
      </c>
      <c r="C2" s="3">
        <v>1.0</v>
      </c>
      <c r="D2" s="3">
        <v>11.5640280246735</v>
      </c>
      <c r="E2" s="3">
        <v>0.105260848999023</v>
      </c>
      <c r="F2" s="3">
        <v>1541.0</v>
      </c>
      <c r="G2" s="3">
        <v>0.537290334701538</v>
      </c>
      <c r="H2" s="3">
        <v>0.0015798807144165</v>
      </c>
      <c r="I2" s="3">
        <v>1573.0</v>
      </c>
      <c r="J2" s="3">
        <v>8.89551377296448</v>
      </c>
      <c r="K2" s="3">
        <v>0.0989328622817993</v>
      </c>
      <c r="L2" s="3">
        <v>0.036329</v>
      </c>
      <c r="M2" s="3">
        <v>0.043274</v>
      </c>
      <c r="N2" s="3">
        <v>0.0</v>
      </c>
    </row>
    <row r="3" ht="22.5" customHeight="1">
      <c r="A3" s="2" t="s">
        <v>14</v>
      </c>
      <c r="B3" s="3">
        <v>100.0</v>
      </c>
      <c r="C3" s="3">
        <v>2.0</v>
      </c>
      <c r="D3" s="3">
        <v>11.3806886672974</v>
      </c>
      <c r="E3" s="3">
        <v>0.105234742164612</v>
      </c>
      <c r="F3" s="3">
        <v>1541.0</v>
      </c>
      <c r="G3" s="3">
        <v>0.687909841537476</v>
      </c>
      <c r="H3" s="3">
        <v>0.00157201290130615</v>
      </c>
      <c r="I3" s="3">
        <v>1573.0</v>
      </c>
      <c r="J3" s="3">
        <v>9.23687267303467</v>
      </c>
      <c r="K3" s="3">
        <v>0.0992937088012695</v>
      </c>
      <c r="L3" s="3">
        <v>0.022906</v>
      </c>
      <c r="M3" s="3">
        <v>0.029851</v>
      </c>
      <c r="N3" s="3">
        <v>0.0</v>
      </c>
    </row>
    <row r="4" ht="22.5" customHeight="1">
      <c r="A4" s="2" t="s">
        <v>14</v>
      </c>
      <c r="B4" s="3">
        <v>100.0</v>
      </c>
      <c r="C4" s="3">
        <v>3.0</v>
      </c>
      <c r="D4" s="3">
        <v>11.0329151153564</v>
      </c>
      <c r="E4" s="3">
        <v>0.104344964027405</v>
      </c>
      <c r="F4" s="3">
        <v>1541.0</v>
      </c>
      <c r="G4" s="3">
        <v>0.768778562545776</v>
      </c>
      <c r="H4" s="3">
        <v>0.00155293941497803</v>
      </c>
      <c r="I4" s="3">
        <v>1573.0</v>
      </c>
      <c r="J4" s="3">
        <v>8.67765617370606</v>
      </c>
      <c r="K4" s="3">
        <v>0.0984277725219727</v>
      </c>
      <c r="L4" s="3">
        <v>0.022785</v>
      </c>
      <c r="M4" s="3">
        <v>0.02973</v>
      </c>
      <c r="N4" s="3">
        <v>0.0</v>
      </c>
    </row>
    <row r="5" ht="22.5" customHeight="1">
      <c r="A5" s="2" t="s">
        <v>14</v>
      </c>
      <c r="B5" s="3">
        <v>100.0</v>
      </c>
      <c r="C5" s="3">
        <v>4.0</v>
      </c>
      <c r="D5" s="3">
        <v>11.9080405235291</v>
      </c>
      <c r="E5" s="3">
        <v>0.105545878410339</v>
      </c>
      <c r="F5" s="3">
        <v>1541.0</v>
      </c>
      <c r="G5" s="3">
        <v>0.379535436630249</v>
      </c>
      <c r="H5" s="3">
        <v>0.00156331062316895</v>
      </c>
      <c r="I5" s="3">
        <v>1573.0</v>
      </c>
      <c r="J5" s="3">
        <v>9.19894170761108</v>
      </c>
      <c r="K5" s="3">
        <v>0.0988030433654785</v>
      </c>
      <c r="L5" s="3">
        <v>0.022879</v>
      </c>
      <c r="M5" s="3">
        <v>0.029824</v>
      </c>
      <c r="N5" s="3">
        <v>0.0</v>
      </c>
    </row>
    <row r="6" ht="22.5" customHeight="1">
      <c r="A6" s="2" t="s">
        <v>14</v>
      </c>
      <c r="B6" s="3">
        <v>100.0</v>
      </c>
      <c r="C6" s="3">
        <v>5.0</v>
      </c>
      <c r="D6" s="3">
        <v>11.5509350299835</v>
      </c>
      <c r="E6" s="3">
        <v>0.105068683624268</v>
      </c>
      <c r="F6" s="3">
        <v>1541.0</v>
      </c>
      <c r="G6" s="3">
        <v>0.443109512329102</v>
      </c>
      <c r="H6" s="3">
        <v>0.00150835514068604</v>
      </c>
      <c r="I6" s="3">
        <v>1573.0</v>
      </c>
      <c r="J6" s="3">
        <v>9.10294961929321</v>
      </c>
      <c r="K6" s="3">
        <v>0.0996500253677368</v>
      </c>
      <c r="L6" s="3">
        <v>0.023039</v>
      </c>
      <c r="M6" s="3">
        <v>0.029984</v>
      </c>
      <c r="N6" s="3">
        <v>0.0</v>
      </c>
    </row>
    <row r="7" ht="22.5" customHeight="1">
      <c r="A7" s="2" t="s">
        <v>15</v>
      </c>
      <c r="B7" s="3">
        <v>100.0</v>
      </c>
      <c r="C7" s="3">
        <v>1.0</v>
      </c>
      <c r="D7" s="3">
        <v>0.00498294830322266</v>
      </c>
      <c r="E7" s="3">
        <v>4.81605529785156E-5</v>
      </c>
      <c r="F7" s="3">
        <v>800.0</v>
      </c>
      <c r="G7" s="3">
        <v>0.00560307502746582</v>
      </c>
      <c r="H7" s="3">
        <v>5.31673431396484E-5</v>
      </c>
      <c r="I7" s="3">
        <v>768.0</v>
      </c>
      <c r="J7" s="3">
        <v>0.00508666038513184</v>
      </c>
      <c r="K7" s="3">
        <v>5.00679016113281E-5</v>
      </c>
      <c r="L7" s="3">
        <v>0.025127</v>
      </c>
      <c r="M7" s="3">
        <v>0.027932</v>
      </c>
      <c r="N7" s="3">
        <v>0.0</v>
      </c>
    </row>
    <row r="8" ht="22.5" customHeight="1">
      <c r="A8" s="2" t="s">
        <v>15</v>
      </c>
      <c r="B8" s="3">
        <v>100.0</v>
      </c>
      <c r="C8" s="3">
        <v>2.0</v>
      </c>
      <c r="D8" s="3">
        <v>0.0042874813079834</v>
      </c>
      <c r="E8" s="3">
        <v>3.95774841308594E-5</v>
      </c>
      <c r="F8" s="3">
        <v>800.0</v>
      </c>
      <c r="G8" s="3">
        <v>0.00467872619628906</v>
      </c>
      <c r="H8" s="3">
        <v>4.33921813964844E-5</v>
      </c>
      <c r="I8" s="3">
        <v>768.0</v>
      </c>
      <c r="J8" s="3">
        <v>0.0222899913787842</v>
      </c>
      <c r="K8" s="3">
        <v>4.10079956054688E-5</v>
      </c>
      <c r="L8" s="3">
        <v>0.014887</v>
      </c>
      <c r="M8" s="3">
        <v>0.017692</v>
      </c>
      <c r="N8" s="3">
        <v>0.0</v>
      </c>
    </row>
    <row r="9" ht="22.5" customHeight="1">
      <c r="A9" s="2" t="s">
        <v>15</v>
      </c>
      <c r="B9" s="3">
        <v>100.0</v>
      </c>
      <c r="C9" s="3">
        <v>3.0</v>
      </c>
      <c r="D9" s="3">
        <v>0.00356841087341309</v>
      </c>
      <c r="E9" s="3">
        <v>3.38554382324219E-5</v>
      </c>
      <c r="F9" s="3">
        <v>800.0</v>
      </c>
      <c r="G9" s="3">
        <v>0.00398087501525879</v>
      </c>
      <c r="H9" s="3">
        <v>3.74317169189453E-5</v>
      </c>
      <c r="I9" s="3">
        <v>768.0</v>
      </c>
      <c r="J9" s="3">
        <v>0.00377416610717773</v>
      </c>
      <c r="K9" s="3">
        <v>3.51667404174805E-5</v>
      </c>
      <c r="L9" s="3">
        <v>0.015143</v>
      </c>
      <c r="M9" s="3">
        <v>0.017948</v>
      </c>
      <c r="N9" s="3">
        <v>0.0</v>
      </c>
    </row>
    <row r="10" ht="22.5" customHeight="1">
      <c r="A10" s="2" t="s">
        <v>15</v>
      </c>
      <c r="B10" s="3">
        <v>100.0</v>
      </c>
      <c r="C10" s="3">
        <v>4.0</v>
      </c>
      <c r="D10" s="3">
        <v>0.00479459762573242</v>
      </c>
      <c r="E10" s="3">
        <v>4.79221343994141E-5</v>
      </c>
      <c r="F10" s="3">
        <v>800.0</v>
      </c>
      <c r="G10" s="3">
        <v>0.00533103942871094</v>
      </c>
      <c r="H10" s="3">
        <v>5.26905059814453E-5</v>
      </c>
      <c r="I10" s="3">
        <v>768.0</v>
      </c>
      <c r="J10" s="3">
        <v>0.0796434879302979</v>
      </c>
      <c r="K10" s="3">
        <v>4.9591064453125E-5</v>
      </c>
      <c r="L10" s="3">
        <v>0.015431</v>
      </c>
      <c r="M10" s="3">
        <v>0.018236</v>
      </c>
      <c r="N10" s="3">
        <v>0.0</v>
      </c>
    </row>
    <row r="11" ht="22.5" customHeight="1">
      <c r="A11" s="2" t="s">
        <v>15</v>
      </c>
      <c r="B11" s="3">
        <v>100.0</v>
      </c>
      <c r="C11" s="3">
        <v>5.0</v>
      </c>
      <c r="D11" s="3">
        <v>0.00464510917663574</v>
      </c>
      <c r="E11" s="3">
        <v>3.95774841308594E-5</v>
      </c>
      <c r="F11" s="3">
        <v>800.0</v>
      </c>
      <c r="G11" s="3">
        <v>0.0803482532501221</v>
      </c>
      <c r="H11" s="3">
        <v>4.33921813964844E-5</v>
      </c>
      <c r="I11" s="3">
        <v>768.0</v>
      </c>
      <c r="J11" s="3">
        <v>0.0045778751373291</v>
      </c>
      <c r="K11" s="3">
        <v>4.10079956054688E-5</v>
      </c>
      <c r="L11" s="3">
        <v>0.015262</v>
      </c>
      <c r="M11" s="3">
        <v>0.018067</v>
      </c>
      <c r="N11" s="3">
        <v>0.0</v>
      </c>
    </row>
    <row r="12" ht="22.5" customHeight="1">
      <c r="A12" s="2" t="s">
        <v>16</v>
      </c>
      <c r="B12" s="3">
        <v>100.0</v>
      </c>
      <c r="C12" s="3">
        <v>1.0</v>
      </c>
      <c r="D12" s="3">
        <v>0.00682520866394043</v>
      </c>
      <c r="E12" s="3">
        <v>6.74724578857422E-5</v>
      </c>
      <c r="F12" s="3">
        <v>1184.0</v>
      </c>
      <c r="G12" s="3">
        <v>0.00739574432373047</v>
      </c>
      <c r="H12" s="3">
        <v>7.20024108886719E-5</v>
      </c>
      <c r="I12" s="3">
        <v>1088.0</v>
      </c>
      <c r="J12" s="3">
        <v>0.0416395664215088</v>
      </c>
      <c r="K12" s="3">
        <v>7.15255737304688E-5</v>
      </c>
      <c r="L12" s="3">
        <v>0.02431</v>
      </c>
      <c r="M12" s="3">
        <v>0.028203</v>
      </c>
      <c r="N12" s="3">
        <v>0.0</v>
      </c>
    </row>
    <row r="13" ht="22.5" customHeight="1">
      <c r="A13" s="2" t="s">
        <v>16</v>
      </c>
      <c r="B13" s="3">
        <v>100.0</v>
      </c>
      <c r="C13" s="3">
        <v>2.0</v>
      </c>
      <c r="D13" s="3">
        <v>0.00598907470703125</v>
      </c>
      <c r="E13" s="3">
        <v>5.57899475097656E-5</v>
      </c>
      <c r="F13" s="3">
        <v>1184.0</v>
      </c>
      <c r="G13" s="3">
        <v>0.00637960433959961</v>
      </c>
      <c r="H13" s="3">
        <v>5.97238540649414E-5</v>
      </c>
      <c r="I13" s="3">
        <v>1088.0</v>
      </c>
      <c r="J13" s="3">
        <v>0.00633811950683594</v>
      </c>
      <c r="K13" s="3">
        <v>5.88893890380859E-5</v>
      </c>
      <c r="L13" s="3">
        <v>0.016039</v>
      </c>
      <c r="M13" s="3">
        <v>0.019996</v>
      </c>
      <c r="N13" s="3">
        <v>0.0</v>
      </c>
    </row>
    <row r="14" ht="22.5" customHeight="1">
      <c r="A14" s="2" t="s">
        <v>16</v>
      </c>
      <c r="B14" s="3">
        <v>100.0</v>
      </c>
      <c r="C14" s="3">
        <v>3.0</v>
      </c>
      <c r="D14" s="3">
        <v>0.00666284561157227</v>
      </c>
      <c r="E14" s="3">
        <v>6.67572021484375E-5</v>
      </c>
      <c r="F14" s="3">
        <v>1184.0</v>
      </c>
      <c r="G14" s="3">
        <v>0.0846154689788818</v>
      </c>
      <c r="H14" s="3">
        <v>7.15255737304688E-5</v>
      </c>
      <c r="I14" s="3">
        <v>1088.0</v>
      </c>
      <c r="J14" s="3">
        <v>0.00700688362121582</v>
      </c>
      <c r="K14" s="3">
        <v>7.10487365722656E-5</v>
      </c>
      <c r="L14" s="3">
        <v>0.016263</v>
      </c>
      <c r="M14" s="3">
        <v>0.02022</v>
      </c>
      <c r="N14" s="3">
        <v>0.0</v>
      </c>
    </row>
    <row r="15" ht="22.5" customHeight="1">
      <c r="A15" s="2" t="s">
        <v>16</v>
      </c>
      <c r="B15" s="3">
        <v>100.0</v>
      </c>
      <c r="C15" s="3">
        <v>4.0</v>
      </c>
      <c r="D15" s="3">
        <v>0.0792858600616455</v>
      </c>
      <c r="E15" s="3">
        <v>6.65187835693359E-5</v>
      </c>
      <c r="F15" s="3">
        <v>1184.0</v>
      </c>
      <c r="G15" s="3">
        <v>0.00733137130737305</v>
      </c>
      <c r="H15" s="3">
        <v>7.10487365722656E-5</v>
      </c>
      <c r="I15" s="3">
        <v>1088.0</v>
      </c>
      <c r="J15" s="3">
        <v>0.0069732666015625</v>
      </c>
      <c r="K15" s="3">
        <v>7.10487365722656E-5</v>
      </c>
      <c r="L15" s="3">
        <v>0.016391</v>
      </c>
      <c r="M15" s="3">
        <v>0.020348</v>
      </c>
      <c r="N15" s="3">
        <v>0.0</v>
      </c>
    </row>
    <row r="16" ht="22.5" customHeight="1">
      <c r="A16" s="2" t="s">
        <v>16</v>
      </c>
      <c r="B16" s="3">
        <v>100.0</v>
      </c>
      <c r="C16" s="3">
        <v>5.0</v>
      </c>
      <c r="D16" s="3">
        <v>0.082089900970459</v>
      </c>
      <c r="E16" s="3">
        <v>6.67572021484375E-5</v>
      </c>
      <c r="F16" s="3">
        <v>1184.0</v>
      </c>
      <c r="G16" s="3">
        <v>0.00805473327636719</v>
      </c>
      <c r="H16" s="3">
        <v>7.15255737304688E-5</v>
      </c>
      <c r="I16" s="3">
        <v>1088.0</v>
      </c>
      <c r="J16" s="3">
        <v>0.00782203674316406</v>
      </c>
      <c r="K16" s="3">
        <v>7.12871551513672E-5</v>
      </c>
      <c r="L16" s="3">
        <v>0.017835</v>
      </c>
      <c r="M16" s="3">
        <v>0.021632</v>
      </c>
      <c r="N16" s="3">
        <v>0.0</v>
      </c>
    </row>
    <row r="17" ht="22.5" customHeight="1">
      <c r="A17" s="2" t="s">
        <v>17</v>
      </c>
      <c r="B17" s="3">
        <v>100.0</v>
      </c>
      <c r="C17" s="3">
        <v>1.0</v>
      </c>
      <c r="D17" s="3">
        <v>0.00909662246704102</v>
      </c>
      <c r="E17" s="3">
        <v>9.03606414794922E-5</v>
      </c>
      <c r="F17" s="3">
        <v>1568.0</v>
      </c>
      <c r="G17" s="3">
        <v>0.0613203048706055</v>
      </c>
      <c r="H17" s="3">
        <v>9.70363616943359E-5</v>
      </c>
      <c r="I17" s="3">
        <v>1568.0</v>
      </c>
      <c r="J17" s="3">
        <v>0.00973296165466309</v>
      </c>
      <c r="K17" s="3">
        <v>1.00016593933105E-4</v>
      </c>
      <c r="L17" s="3">
        <v>0.022865</v>
      </c>
      <c r="M17" s="3">
        <v>0.028004</v>
      </c>
      <c r="N17" s="3">
        <v>0.0</v>
      </c>
    </row>
    <row r="18" ht="22.5" customHeight="1">
      <c r="A18" s="2" t="s">
        <v>17</v>
      </c>
      <c r="B18" s="3">
        <v>100.0</v>
      </c>
      <c r="C18" s="3">
        <v>2.0</v>
      </c>
      <c r="D18" s="3">
        <v>0.00933408737182617</v>
      </c>
      <c r="E18" s="3">
        <v>9.01222229003906E-5</v>
      </c>
      <c r="F18" s="3">
        <v>1568.0</v>
      </c>
      <c r="G18" s="3">
        <v>0.0100057125091553</v>
      </c>
      <c r="H18" s="3">
        <v>9.69171524047852E-5</v>
      </c>
      <c r="I18" s="3">
        <v>1568.0</v>
      </c>
      <c r="J18" s="3">
        <v>0.0833437442779541</v>
      </c>
      <c r="K18" s="3">
        <v>9.96589660644531E-5</v>
      </c>
      <c r="L18" s="3">
        <v>0.017927</v>
      </c>
      <c r="M18" s="3">
        <v>0.023066</v>
      </c>
      <c r="N18" s="3">
        <v>0.0</v>
      </c>
    </row>
    <row r="19" ht="22.5" customHeight="1">
      <c r="A19" s="2" t="s">
        <v>17</v>
      </c>
      <c r="B19" s="3">
        <v>100.0</v>
      </c>
      <c r="C19" s="3">
        <v>3.0</v>
      </c>
      <c r="D19" s="3">
        <v>0.0102431774139404</v>
      </c>
      <c r="E19" s="3">
        <v>9.03606414794922E-5</v>
      </c>
      <c r="F19" s="3">
        <v>1568.0</v>
      </c>
      <c r="G19" s="3">
        <v>0.0857186317443848</v>
      </c>
      <c r="H19" s="3">
        <v>9.75131988525391E-5</v>
      </c>
      <c r="I19" s="3">
        <v>1568.0</v>
      </c>
      <c r="J19" s="3">
        <v>0.0111322402954102</v>
      </c>
      <c r="K19" s="3">
        <v>1.00135803222656E-4</v>
      </c>
      <c r="L19" s="3">
        <v>0.019783</v>
      </c>
      <c r="M19" s="3">
        <v>0.024922</v>
      </c>
      <c r="N19" s="3">
        <v>0.0</v>
      </c>
    </row>
    <row r="20" ht="22.5" customHeight="1">
      <c r="A20" s="2" t="s">
        <v>17</v>
      </c>
      <c r="B20" s="3">
        <v>100.0</v>
      </c>
      <c r="C20" s="3">
        <v>4.0</v>
      </c>
      <c r="D20" s="3">
        <v>0.00683808326721191</v>
      </c>
      <c r="E20" s="3">
        <v>6.34193420410156E-5</v>
      </c>
      <c r="F20" s="3">
        <v>1568.0</v>
      </c>
      <c r="G20" s="3">
        <v>0.00742769241333008</v>
      </c>
      <c r="H20" s="3">
        <v>6.84261322021484E-5</v>
      </c>
      <c r="I20" s="3">
        <v>1568.0</v>
      </c>
      <c r="J20" s="3">
        <v>0.0830111503601074</v>
      </c>
      <c r="K20" s="3">
        <v>7.03334808349609E-5</v>
      </c>
      <c r="L20" s="3">
        <v>0.020071</v>
      </c>
      <c r="M20" s="3">
        <v>0.02521</v>
      </c>
      <c r="N20" s="3">
        <v>0.0</v>
      </c>
    </row>
    <row r="21" ht="22.5" customHeight="1">
      <c r="A21" s="2" t="s">
        <v>17</v>
      </c>
      <c r="B21" s="3">
        <v>100.0</v>
      </c>
      <c r="C21" s="3">
        <v>5.0</v>
      </c>
      <c r="D21" s="3">
        <v>0.00777029991149902</v>
      </c>
      <c r="E21" s="3">
        <v>7.37905502319336E-5</v>
      </c>
      <c r="F21" s="3">
        <v>1568.0</v>
      </c>
      <c r="G21" s="3">
        <v>0.0842199325561523</v>
      </c>
      <c r="H21" s="3">
        <v>7.93933868408203E-5</v>
      </c>
      <c r="I21" s="3">
        <v>1568.0</v>
      </c>
      <c r="J21" s="3">
        <v>0.00869655609130859</v>
      </c>
      <c r="K21" s="3">
        <v>8.17775726318359E-5</v>
      </c>
      <c r="L21" s="3">
        <v>0.017162</v>
      </c>
      <c r="M21" s="3">
        <v>0.026255</v>
      </c>
      <c r="N21" s="3">
        <v>0.0</v>
      </c>
    </row>
    <row r="22" ht="22.5" customHeight="1">
      <c r="A22" s="2" t="s">
        <v>18</v>
      </c>
      <c r="B22" s="3">
        <v>100.0</v>
      </c>
      <c r="C22" s="3">
        <v>1.0</v>
      </c>
      <c r="D22" s="3">
        <v>0.219111204147339</v>
      </c>
      <c r="E22" s="3">
        <v>7.23838806152344E-4</v>
      </c>
      <c r="F22" s="3">
        <v>9616.0</v>
      </c>
      <c r="G22" s="3">
        <v>0.500086307525635</v>
      </c>
      <c r="H22" s="3">
        <v>0.00125241279602051</v>
      </c>
      <c r="I22" s="3">
        <v>9720.0</v>
      </c>
      <c r="J22" s="3">
        <v>0.498169422149658</v>
      </c>
      <c r="K22" s="3">
        <v>0.00116753578186035</v>
      </c>
      <c r="L22" s="3">
        <v>0.077754</v>
      </c>
      <c r="M22" s="3">
        <v>0.107439</v>
      </c>
      <c r="N22" s="3">
        <v>0.0</v>
      </c>
    </row>
    <row r="23" ht="22.5" customHeight="1">
      <c r="A23" s="2" t="s">
        <v>18</v>
      </c>
      <c r="B23" s="3">
        <v>100.0</v>
      </c>
      <c r="C23" s="3">
        <v>2.0</v>
      </c>
      <c r="D23" s="3">
        <v>0.0747244358062744</v>
      </c>
      <c r="E23" s="3">
        <v>7.33137130737305E-4</v>
      </c>
      <c r="F23" s="3">
        <v>9616.0</v>
      </c>
      <c r="G23" s="3">
        <v>0.572806596755981</v>
      </c>
      <c r="H23" s="3">
        <v>0.00124490261077881</v>
      </c>
      <c r="I23" s="3">
        <v>9720.0</v>
      </c>
      <c r="J23" s="3">
        <v>0.575154066085815</v>
      </c>
      <c r="K23" s="3">
        <v>0.0013129711151123</v>
      </c>
      <c r="L23" s="3">
        <v>0.068175</v>
      </c>
      <c r="M23" s="3">
        <v>0.09786</v>
      </c>
      <c r="N23" s="3">
        <v>0.0</v>
      </c>
    </row>
    <row r="24" ht="22.5" customHeight="1">
      <c r="A24" s="2" t="s">
        <v>18</v>
      </c>
      <c r="B24" s="3">
        <v>100.0</v>
      </c>
      <c r="C24" s="3">
        <v>3.0</v>
      </c>
      <c r="D24" s="3">
        <v>0.139969110488892</v>
      </c>
      <c r="E24" s="3">
        <v>6.1190128326416E-4</v>
      </c>
      <c r="F24" s="3">
        <v>9616.0</v>
      </c>
      <c r="G24" s="3">
        <v>0.633387088775635</v>
      </c>
      <c r="H24" s="3">
        <v>0.00113439559936523</v>
      </c>
      <c r="I24" s="3">
        <v>9720.0</v>
      </c>
      <c r="J24" s="3">
        <v>0.33308219909668</v>
      </c>
      <c r="K24" s="3">
        <v>0.00109255313873291</v>
      </c>
      <c r="L24" s="3">
        <v>0.068303</v>
      </c>
      <c r="M24" s="3">
        <v>0.097988</v>
      </c>
      <c r="N24" s="3">
        <v>0.0</v>
      </c>
    </row>
    <row r="25" ht="22.5" customHeight="1">
      <c r="A25" s="2" t="s">
        <v>18</v>
      </c>
      <c r="B25" s="3">
        <v>100.0</v>
      </c>
      <c r="C25" s="3">
        <v>4.0</v>
      </c>
      <c r="D25" s="3">
        <v>0.29061222076416</v>
      </c>
      <c r="E25" s="3">
        <v>6.0427188873291E-4</v>
      </c>
      <c r="F25" s="3">
        <v>9616.0</v>
      </c>
      <c r="G25" s="3">
        <v>0.404983997344971</v>
      </c>
      <c r="H25" s="3">
        <v>0.00111949443817139</v>
      </c>
      <c r="I25" s="3">
        <v>9720.0</v>
      </c>
      <c r="J25" s="3">
        <v>0.48326301574707</v>
      </c>
      <c r="K25" s="3">
        <v>0.00108087062835693</v>
      </c>
      <c r="L25" s="3">
        <v>0.068591</v>
      </c>
      <c r="M25" s="3">
        <v>0.098276</v>
      </c>
      <c r="N25" s="3">
        <v>0.0</v>
      </c>
    </row>
    <row r="26" ht="22.5" customHeight="1">
      <c r="A26" s="2" t="s">
        <v>18</v>
      </c>
      <c r="B26" s="3">
        <v>100.0</v>
      </c>
      <c r="C26" s="3">
        <v>5.0</v>
      </c>
      <c r="D26" s="3">
        <v>0.146380186080933</v>
      </c>
      <c r="E26" s="3">
        <v>7.22885131835938E-4</v>
      </c>
      <c r="F26" s="3">
        <v>9616.0</v>
      </c>
      <c r="G26" s="3">
        <v>0.576728343963623</v>
      </c>
      <c r="H26" s="3">
        <v>0.00130534172058105</v>
      </c>
      <c r="I26" s="3">
        <v>9720.0</v>
      </c>
      <c r="J26" s="3">
        <v>0.495635509490967</v>
      </c>
      <c r="K26" s="3">
        <v>0.00129425525665283</v>
      </c>
      <c r="L26" s="3">
        <v>0.06931</v>
      </c>
      <c r="M26" s="3">
        <v>0.098995</v>
      </c>
      <c r="N26" s="3">
        <v>0.0</v>
      </c>
    </row>
    <row r="27" ht="22.5" customHeight="1">
      <c r="A27" s="2" t="s">
        <v>19</v>
      </c>
      <c r="B27" s="3">
        <v>100.0</v>
      </c>
      <c r="C27" s="3">
        <v>1.0</v>
      </c>
      <c r="D27" s="3">
        <v>0.0871374607086182</v>
      </c>
      <c r="E27" s="3">
        <v>1.13606452941895E-4</v>
      </c>
      <c r="F27" s="3">
        <v>32.0</v>
      </c>
      <c r="G27" s="3">
        <v>0.0971333980560303</v>
      </c>
      <c r="H27" s="3">
        <v>2.02775001525879E-4</v>
      </c>
      <c r="I27" s="3">
        <v>32.0</v>
      </c>
      <c r="J27" s="3">
        <v>0.0114586353302002</v>
      </c>
      <c r="K27" s="3">
        <v>1.02758407592773E-4</v>
      </c>
      <c r="L27" s="3">
        <v>0.286442</v>
      </c>
      <c r="M27" s="3">
        <v>0.286755</v>
      </c>
      <c r="N27" s="3">
        <v>0.0</v>
      </c>
    </row>
    <row r="28" ht="22.5" customHeight="1">
      <c r="A28" s="2" t="s">
        <v>19</v>
      </c>
      <c r="B28" s="3">
        <v>100.0</v>
      </c>
      <c r="C28" s="3">
        <v>2.0</v>
      </c>
      <c r="D28" s="3">
        <v>0.0122935771942139</v>
      </c>
      <c r="E28" s="3">
        <v>1.2671947479248E-4</v>
      </c>
      <c r="F28" s="3">
        <v>32.0</v>
      </c>
      <c r="G28" s="3">
        <v>0.172396659851074</v>
      </c>
      <c r="H28" s="3">
        <v>2.2423267364502E-4</v>
      </c>
      <c r="I28" s="3">
        <v>32.0</v>
      </c>
      <c r="J28" s="3">
        <v>0.011049747467041</v>
      </c>
      <c r="K28" s="3">
        <v>1.11579895019531E-4</v>
      </c>
      <c r="L28" s="3">
        <v>0.010303</v>
      </c>
      <c r="M28" s="3">
        <v>0.010616</v>
      </c>
      <c r="N28" s="3">
        <v>0.0</v>
      </c>
    </row>
    <row r="29" ht="22.5" customHeight="1">
      <c r="A29" s="2" t="s">
        <v>19</v>
      </c>
      <c r="B29" s="3">
        <v>100.0</v>
      </c>
      <c r="C29" s="3">
        <v>3.0</v>
      </c>
      <c r="D29" s="3">
        <v>0.0868668556213379</v>
      </c>
      <c r="E29" s="3">
        <v>1.27196311950684E-4</v>
      </c>
      <c r="F29" s="3">
        <v>32.0</v>
      </c>
      <c r="G29" s="3">
        <v>0.100261688232422</v>
      </c>
      <c r="H29" s="3">
        <v>2.29597091674805E-4</v>
      </c>
      <c r="I29" s="3">
        <v>32.0</v>
      </c>
      <c r="J29" s="3">
        <v>0.0121560096740723</v>
      </c>
      <c r="K29" s="3">
        <v>1.12295150756836E-4</v>
      </c>
      <c r="L29" s="3">
        <v>0.008483</v>
      </c>
      <c r="M29" s="3">
        <v>0.008796</v>
      </c>
      <c r="N29" s="3">
        <v>0.0</v>
      </c>
    </row>
    <row r="30" ht="22.5" customHeight="1">
      <c r="A30" s="2" t="s">
        <v>19</v>
      </c>
      <c r="B30" s="3">
        <v>100.0</v>
      </c>
      <c r="C30" s="3">
        <v>4.0</v>
      </c>
      <c r="D30" s="3">
        <v>0.0116875171661377</v>
      </c>
      <c r="E30" s="3">
        <v>1.07884407043457E-4</v>
      </c>
      <c r="F30" s="3">
        <v>32.0</v>
      </c>
      <c r="G30" s="3">
        <v>0.0975635051727295</v>
      </c>
      <c r="H30" s="3">
        <v>2.04920768737793E-4</v>
      </c>
      <c r="I30" s="3">
        <v>32.0</v>
      </c>
      <c r="J30" s="3">
        <v>0.0852158069610596</v>
      </c>
      <c r="K30" s="3">
        <v>1.04427337646484E-4</v>
      </c>
      <c r="L30" s="3">
        <v>0.010591</v>
      </c>
      <c r="M30" s="3">
        <v>0.010904</v>
      </c>
      <c r="N30" s="3">
        <v>0.0</v>
      </c>
    </row>
    <row r="31" ht="22.5" customHeight="1">
      <c r="A31" s="2" t="s">
        <v>19</v>
      </c>
      <c r="B31" s="3">
        <v>100.0</v>
      </c>
      <c r="C31" s="3">
        <v>5.0</v>
      </c>
      <c r="D31" s="3">
        <v>0.0883088111877441</v>
      </c>
      <c r="E31" s="3">
        <v>1.28030776977539E-4</v>
      </c>
      <c r="F31" s="3">
        <v>32.0</v>
      </c>
      <c r="G31" s="3">
        <v>0.099712610244751</v>
      </c>
      <c r="H31" s="3">
        <v>2.31146812438965E-4</v>
      </c>
      <c r="I31" s="3">
        <v>32.0</v>
      </c>
      <c r="J31" s="3">
        <v>0.0122945308685303</v>
      </c>
      <c r="K31" s="3">
        <v>1.12056732177734E-4</v>
      </c>
      <c r="L31" s="3">
        <v>0.008612</v>
      </c>
      <c r="M31" s="3">
        <v>0.011495</v>
      </c>
      <c r="N31" s="3">
        <v>0.0</v>
      </c>
    </row>
    <row r="32" ht="22.5" customHeight="1">
      <c r="A32" s="2" t="s">
        <v>20</v>
      </c>
      <c r="B32" s="3">
        <v>100.0</v>
      </c>
      <c r="C32" s="3">
        <v>1.0</v>
      </c>
      <c r="D32" s="3">
        <v>0.015571117401123</v>
      </c>
      <c r="E32" s="3">
        <v>1.4340877532959E-4</v>
      </c>
      <c r="F32" s="3">
        <v>178.0</v>
      </c>
      <c r="G32" s="3">
        <v>0.012920618057251</v>
      </c>
      <c r="H32" s="3">
        <v>1.220703125E-4</v>
      </c>
      <c r="I32" s="3">
        <v>71.0</v>
      </c>
      <c r="J32" s="3">
        <v>0.173299789428711</v>
      </c>
      <c r="K32" s="3">
        <v>2.29954719543457E-4</v>
      </c>
      <c r="L32" s="3">
        <v>0.019982</v>
      </c>
      <c r="M32" s="3">
        <v>0.020567</v>
      </c>
      <c r="N32" s="3">
        <v>0.0</v>
      </c>
    </row>
    <row r="33" ht="22.5" customHeight="1">
      <c r="A33" s="2" t="s">
        <v>20</v>
      </c>
      <c r="B33" s="3">
        <v>100.0</v>
      </c>
      <c r="C33" s="3">
        <v>2.0</v>
      </c>
      <c r="D33" s="3">
        <v>0.167123317718506</v>
      </c>
      <c r="E33" s="3">
        <v>1.44720077514648E-4</v>
      </c>
      <c r="F33" s="3">
        <v>178.0</v>
      </c>
      <c r="G33" s="3">
        <v>0.0139749050140381</v>
      </c>
      <c r="H33" s="3">
        <v>1.22308731079102E-4</v>
      </c>
      <c r="I33" s="3">
        <v>71.0</v>
      </c>
      <c r="J33" s="3">
        <v>0.100246429443359</v>
      </c>
      <c r="K33" s="3">
        <v>2.30789184570313E-4</v>
      </c>
      <c r="L33" s="3">
        <v>0.010149</v>
      </c>
      <c r="M33" s="3">
        <v>0.010734</v>
      </c>
      <c r="N33" s="3">
        <v>0.0</v>
      </c>
    </row>
    <row r="34" ht="22.5" customHeight="1">
      <c r="A34" s="2" t="s">
        <v>20</v>
      </c>
      <c r="B34" s="3">
        <v>100.0</v>
      </c>
      <c r="C34" s="3">
        <v>3.0</v>
      </c>
      <c r="D34" s="3">
        <v>0.0895552635192871</v>
      </c>
      <c r="E34" s="3">
        <v>1.42455101013184E-4</v>
      </c>
      <c r="F34" s="3">
        <v>178.0</v>
      </c>
      <c r="G34" s="3">
        <v>0.0895552635192871</v>
      </c>
      <c r="H34" s="3">
        <v>1.20878219604492E-4</v>
      </c>
      <c r="I34" s="3">
        <v>71.0</v>
      </c>
      <c r="J34" s="3">
        <v>0.0247187614440918</v>
      </c>
      <c r="K34" s="3">
        <v>2.29954719543457E-4</v>
      </c>
      <c r="L34" s="3">
        <v>0.010659</v>
      </c>
      <c r="M34" s="3">
        <v>0.011244</v>
      </c>
      <c r="N34" s="3">
        <v>0.0</v>
      </c>
    </row>
    <row r="35" ht="22.5" customHeight="1">
      <c r="A35" s="2" t="s">
        <v>20</v>
      </c>
      <c r="B35" s="3">
        <v>100.0</v>
      </c>
      <c r="C35" s="3">
        <v>4.0</v>
      </c>
      <c r="D35" s="3">
        <v>0.0147855281829834</v>
      </c>
      <c r="E35" s="3">
        <v>1.41024589538574E-4</v>
      </c>
      <c r="F35" s="3">
        <v>178.0</v>
      </c>
      <c r="G35" s="3">
        <v>0.0122108459472656</v>
      </c>
      <c r="H35" s="3">
        <v>1.20401382446289E-4</v>
      </c>
      <c r="I35" s="3">
        <v>70.0</v>
      </c>
      <c r="J35" s="3">
        <v>0.0965449810028076</v>
      </c>
      <c r="K35" s="3">
        <v>2.29239463806152E-4</v>
      </c>
      <c r="L35" s="3">
        <v>0.010504</v>
      </c>
      <c r="M35" s="3">
        <v>0.011089</v>
      </c>
      <c r="N35" s="3">
        <v>0.0</v>
      </c>
    </row>
    <row r="36" ht="22.5" customHeight="1">
      <c r="A36" s="2" t="s">
        <v>20</v>
      </c>
      <c r="B36" s="3">
        <v>100.0</v>
      </c>
      <c r="C36" s="3">
        <v>5.0</v>
      </c>
      <c r="D36" s="3">
        <v>0.0151150226593018</v>
      </c>
      <c r="E36" s="3">
        <v>1.45196914672852E-4</v>
      </c>
      <c r="F36" s="3">
        <v>178.0</v>
      </c>
      <c r="G36" s="3">
        <v>0.161047458648682</v>
      </c>
      <c r="H36" s="3">
        <v>1.23262405395508E-4</v>
      </c>
      <c r="I36" s="3">
        <v>71.0</v>
      </c>
      <c r="J36" s="3">
        <v>0.0243561267852783</v>
      </c>
      <c r="K36" s="3">
        <v>2.31623649597168E-4</v>
      </c>
      <c r="L36" s="3">
        <v>0.010822</v>
      </c>
      <c r="M36" s="3">
        <v>0.011407</v>
      </c>
      <c r="N36" s="3">
        <v>0.0</v>
      </c>
    </row>
    <row r="37" ht="22.5" customHeight="1">
      <c r="A37" s="2" t="s">
        <v>21</v>
      </c>
      <c r="B37" s="3">
        <v>100.0</v>
      </c>
      <c r="C37" s="3">
        <v>1.0</v>
      </c>
      <c r="D37" s="3">
        <v>51.0870625972748</v>
      </c>
      <c r="E37" s="3">
        <v>0.487593173980713</v>
      </c>
      <c r="F37" s="3">
        <v>451.0</v>
      </c>
      <c r="G37" s="3">
        <v>0.712186098098755</v>
      </c>
      <c r="H37" s="3">
        <v>0.00259721279144287</v>
      </c>
      <c r="I37" s="3">
        <v>256.0</v>
      </c>
      <c r="J37" s="3">
        <v>0.0928478240966797</v>
      </c>
      <c r="K37" s="3">
        <v>1.40547752380371E-4</v>
      </c>
      <c r="L37" s="3">
        <v>0.0212</v>
      </c>
      <c r="M37" s="3">
        <v>0.022894</v>
      </c>
      <c r="N37" s="3">
        <v>0.0</v>
      </c>
    </row>
    <row r="38" ht="22.5" customHeight="1">
      <c r="A38" s="2" t="s">
        <v>21</v>
      </c>
      <c r="B38" s="3">
        <v>100.0</v>
      </c>
      <c r="C38" s="3">
        <v>2.0</v>
      </c>
      <c r="D38" s="3">
        <v>50.6230969429016</v>
      </c>
      <c r="E38" s="3">
        <v>0.401318669319153</v>
      </c>
      <c r="F38" s="3">
        <v>451.0</v>
      </c>
      <c r="G38" s="3">
        <v>1.36376142501831</v>
      </c>
      <c r="H38" s="3">
        <v>0.00259888172149658</v>
      </c>
      <c r="I38" s="3">
        <v>256.0</v>
      </c>
      <c r="J38" s="3">
        <v>0.0156300067901611</v>
      </c>
      <c r="K38" s="3">
        <v>1.32918357849121E-4</v>
      </c>
      <c r="L38" s="3">
        <v>0.013242</v>
      </c>
      <c r="M38" s="3">
        <v>0.014996</v>
      </c>
      <c r="N38" s="3">
        <v>0.0</v>
      </c>
    </row>
    <row r="39" ht="22.5" customHeight="1">
      <c r="A39" s="2" t="s">
        <v>21</v>
      </c>
      <c r="B39" s="3">
        <v>100.0</v>
      </c>
      <c r="C39" s="3">
        <v>3.0</v>
      </c>
      <c r="D39" s="3">
        <v>40.5802690982819</v>
      </c>
      <c r="E39" s="3">
        <v>0.303865551948547</v>
      </c>
      <c r="F39" s="3">
        <v>451.0</v>
      </c>
      <c r="G39" s="3">
        <v>0.925309658050537</v>
      </c>
      <c r="H39" s="3">
        <v>0.00257706642150879</v>
      </c>
      <c r="I39" s="3">
        <v>256.0</v>
      </c>
      <c r="J39" s="3">
        <v>0.014779806137085</v>
      </c>
      <c r="K39" s="3">
        <v>1.31130218505859E-4</v>
      </c>
      <c r="L39" s="3">
        <v>0.01317</v>
      </c>
      <c r="M39" s="3">
        <v>0.014928</v>
      </c>
      <c r="N39" s="3">
        <v>0.0</v>
      </c>
    </row>
    <row r="40" ht="22.5" customHeight="1">
      <c r="A40" s="2" t="s">
        <v>21</v>
      </c>
      <c r="B40" s="3">
        <v>100.0</v>
      </c>
      <c r="C40" s="3">
        <v>4.0</v>
      </c>
      <c r="D40" s="3">
        <v>47.9561264514923</v>
      </c>
      <c r="E40" s="3">
        <v>0.48782217502594</v>
      </c>
      <c r="F40" s="3">
        <v>451.0</v>
      </c>
      <c r="G40" s="3">
        <v>1.30757069587708</v>
      </c>
      <c r="H40" s="3">
        <v>0.00261783599853516</v>
      </c>
      <c r="I40" s="3">
        <v>256.0</v>
      </c>
      <c r="J40" s="3">
        <v>0.0163426399230957</v>
      </c>
      <c r="K40" s="3">
        <v>1.38163566589355E-4</v>
      </c>
      <c r="L40" s="3">
        <v>0.011086</v>
      </c>
      <c r="M40" s="3">
        <v>0.012844</v>
      </c>
      <c r="N40" s="3">
        <v>0.0</v>
      </c>
    </row>
    <row r="41" ht="22.5" customHeight="1">
      <c r="A41" s="2" t="s">
        <v>21</v>
      </c>
      <c r="B41" s="3">
        <v>100.0</v>
      </c>
      <c r="C41" s="3">
        <v>5.0</v>
      </c>
      <c r="D41" s="3">
        <v>47.7766036987305</v>
      </c>
      <c r="E41" s="3">
        <v>0.309985756874085</v>
      </c>
      <c r="F41" s="3">
        <v>451.0</v>
      </c>
      <c r="G41" s="3">
        <v>0.613248348236084</v>
      </c>
      <c r="H41" s="3">
        <v>0.00233614444732666</v>
      </c>
      <c r="I41" s="3">
        <v>256.0</v>
      </c>
      <c r="J41" s="3">
        <v>0.0136184692382813</v>
      </c>
      <c r="K41" s="3">
        <v>1.29938125610352E-4</v>
      </c>
      <c r="L41" s="3">
        <v>0.015108</v>
      </c>
      <c r="M41" s="3">
        <v>0.016858</v>
      </c>
      <c r="N41" s="3">
        <v>0.0</v>
      </c>
    </row>
    <row r="42" ht="22.5" customHeight="1">
      <c r="A42" s="2" t="s">
        <v>22</v>
      </c>
      <c r="B42" s="3">
        <v>100.0</v>
      </c>
      <c r="C42" s="3">
        <v>1.0</v>
      </c>
      <c r="D42" s="3">
        <v>0.0928561687469482</v>
      </c>
      <c r="E42" s="3">
        <v>1.77145004272461E-4</v>
      </c>
      <c r="F42" s="3">
        <v>1312.0</v>
      </c>
      <c r="G42" s="3">
        <v>0.198331117630005</v>
      </c>
      <c r="H42" s="3">
        <v>4.37498092651367E-4</v>
      </c>
      <c r="I42" s="3">
        <v>2420.0</v>
      </c>
      <c r="J42" s="3">
        <v>0.0180270671844482</v>
      </c>
      <c r="K42" s="3">
        <v>1.70350074768066E-4</v>
      </c>
      <c r="L42" s="3">
        <v>0.031714</v>
      </c>
      <c r="M42" s="3">
        <v>0.03708</v>
      </c>
      <c r="N42" s="3">
        <v>0.0</v>
      </c>
    </row>
    <row r="43" ht="22.5" customHeight="1">
      <c r="A43" s="2" t="s">
        <v>22</v>
      </c>
      <c r="B43" s="3">
        <v>100.0</v>
      </c>
      <c r="C43" s="3">
        <v>2.0</v>
      </c>
      <c r="D43" s="3">
        <v>0.0889217853546143</v>
      </c>
      <c r="E43" s="3">
        <v>1.23023986816406E-4</v>
      </c>
      <c r="F43" s="3">
        <v>1312.0</v>
      </c>
      <c r="G43" s="3">
        <v>0.111938714981079</v>
      </c>
      <c r="H43" s="3">
        <v>2.95639038085938E-4</v>
      </c>
      <c r="I43" s="3">
        <v>2420.0</v>
      </c>
      <c r="J43" s="3">
        <v>0.0126104354858398</v>
      </c>
      <c r="K43" s="3">
        <v>1.24931335449219E-4</v>
      </c>
      <c r="L43" s="3">
        <v>0.017979</v>
      </c>
      <c r="M43" s="3">
        <v>0.023345</v>
      </c>
      <c r="N43" s="3">
        <v>0.0</v>
      </c>
    </row>
    <row r="44" ht="22.5" customHeight="1">
      <c r="A44" s="2" t="s">
        <v>22</v>
      </c>
      <c r="B44" s="3">
        <v>100.0</v>
      </c>
      <c r="C44" s="3">
        <v>3.0</v>
      </c>
      <c r="D44" s="3">
        <v>0.164978742599487</v>
      </c>
      <c r="E44" s="3">
        <v>1.6629695892334E-4</v>
      </c>
      <c r="F44" s="3">
        <v>1312.0</v>
      </c>
      <c r="G44" s="3">
        <v>0.125021457672119</v>
      </c>
      <c r="H44" s="3">
        <v>3.81231307983398E-4</v>
      </c>
      <c r="I44" s="3">
        <v>2420.0</v>
      </c>
      <c r="J44" s="3">
        <v>0.0924584865570068</v>
      </c>
      <c r="K44" s="3">
        <v>1.68561935424805E-4</v>
      </c>
      <c r="L44" s="3">
        <v>0.018107</v>
      </c>
      <c r="M44" s="3">
        <v>0.023473</v>
      </c>
      <c r="N44" s="3">
        <v>0.0</v>
      </c>
    </row>
    <row r="45" ht="22.5" customHeight="1">
      <c r="A45" s="2" t="s">
        <v>22</v>
      </c>
      <c r="B45" s="3">
        <v>100.0</v>
      </c>
      <c r="C45" s="3">
        <v>4.0</v>
      </c>
      <c r="D45" s="3">
        <v>0.104039430618286</v>
      </c>
      <c r="E45" s="3">
        <v>1.43527984619141E-4</v>
      </c>
      <c r="F45" s="3">
        <v>1312.0</v>
      </c>
      <c r="G45" s="3">
        <v>0.115808725357056</v>
      </c>
      <c r="H45" s="3">
        <v>3.28302383422852E-4</v>
      </c>
      <c r="I45" s="3">
        <v>2420.0</v>
      </c>
      <c r="J45" s="3">
        <v>0.0897881984710693</v>
      </c>
      <c r="K45" s="3">
        <v>1.44481658935547E-4</v>
      </c>
      <c r="L45" s="3">
        <v>0.018427</v>
      </c>
      <c r="M45" s="3">
        <v>0.023793</v>
      </c>
      <c r="N45" s="3">
        <v>0.0</v>
      </c>
    </row>
    <row r="46" ht="22.5" customHeight="1">
      <c r="A46" s="2" t="s">
        <v>22</v>
      </c>
      <c r="B46" s="3">
        <v>100.0</v>
      </c>
      <c r="C46" s="3">
        <v>5.0</v>
      </c>
      <c r="D46" s="3">
        <v>0.014798641204834</v>
      </c>
      <c r="E46" s="3">
        <v>1.22189521789551E-4</v>
      </c>
      <c r="F46" s="3">
        <v>1312.0</v>
      </c>
      <c r="G46" s="3">
        <v>0.25214695930481</v>
      </c>
      <c r="H46" s="3">
        <v>3.02672386169434E-4</v>
      </c>
      <c r="I46" s="3">
        <v>2420.0</v>
      </c>
      <c r="J46" s="3">
        <v>0.0152518749237061</v>
      </c>
      <c r="K46" s="3">
        <v>1.24812126159668E-4</v>
      </c>
      <c r="L46" s="3">
        <v>0.018619</v>
      </c>
      <c r="M46" s="3">
        <v>0.023985</v>
      </c>
      <c r="N46" s="3">
        <v>0.0</v>
      </c>
    </row>
    <row r="47" ht="22.5" customHeight="1">
      <c r="A47" s="2" t="s">
        <v>23</v>
      </c>
      <c r="B47" s="3">
        <v>100.0</v>
      </c>
      <c r="C47" s="3">
        <v>1.0</v>
      </c>
      <c r="D47" s="3">
        <v>0.0341658592224121</v>
      </c>
      <c r="E47" s="3">
        <v>3.23176383972168E-4</v>
      </c>
      <c r="F47" s="3">
        <v>1952.0</v>
      </c>
      <c r="G47" s="3">
        <v>0.306806325912476</v>
      </c>
      <c r="H47" s="3">
        <v>6.50405883789063E-4</v>
      </c>
      <c r="I47" s="3">
        <v>3293.0</v>
      </c>
      <c r="J47" s="3">
        <v>0.1968834400177</v>
      </c>
      <c r="K47" s="3">
        <v>2.88724899291992E-4</v>
      </c>
      <c r="L47" s="3">
        <v>0.029003</v>
      </c>
      <c r="M47" s="3">
        <v>0.036115</v>
      </c>
      <c r="N47" s="3">
        <v>0.0</v>
      </c>
    </row>
    <row r="48" ht="22.5" customHeight="1">
      <c r="A48" s="2" t="s">
        <v>23</v>
      </c>
      <c r="B48" s="3">
        <v>100.0</v>
      </c>
      <c r="C48" s="3">
        <v>2.0</v>
      </c>
      <c r="D48" s="3">
        <v>0.0326032638549805</v>
      </c>
      <c r="E48" s="3">
        <v>3.13520431518555E-4</v>
      </c>
      <c r="F48" s="3">
        <v>1952.0</v>
      </c>
      <c r="G48" s="3">
        <v>0.455979108810425</v>
      </c>
      <c r="H48" s="3">
        <v>6.66618347167969E-4</v>
      </c>
      <c r="I48" s="3">
        <v>3293.0</v>
      </c>
      <c r="J48" s="3">
        <v>0.107116937637329</v>
      </c>
      <c r="K48" s="3">
        <v>2.79068946838379E-4</v>
      </c>
      <c r="L48" s="3">
        <v>0.023556</v>
      </c>
      <c r="M48" s="3">
        <v>0.030668</v>
      </c>
      <c r="N48" s="3">
        <v>0.0</v>
      </c>
    </row>
    <row r="49" ht="22.5" customHeight="1">
      <c r="A49" s="2" t="s">
        <v>23</v>
      </c>
      <c r="B49" s="3">
        <v>100.0</v>
      </c>
      <c r="C49" s="3">
        <v>3.0</v>
      </c>
      <c r="D49" s="3">
        <v>0.403268098831177</v>
      </c>
      <c r="E49" s="3">
        <v>3.08752059936523E-4</v>
      </c>
      <c r="F49" s="3">
        <v>1952.0</v>
      </c>
      <c r="G49" s="3">
        <v>0.0744361877441406</v>
      </c>
      <c r="H49" s="3">
        <v>5.91158866882324E-4</v>
      </c>
      <c r="I49" s="3">
        <v>3293.0</v>
      </c>
      <c r="J49" s="3">
        <v>0.0278894901275635</v>
      </c>
      <c r="K49" s="3">
        <v>2.76446342468262E-4</v>
      </c>
      <c r="L49" s="3">
        <v>0.023844</v>
      </c>
      <c r="M49" s="3">
        <v>0.030956</v>
      </c>
      <c r="N49" s="3">
        <v>0.0</v>
      </c>
    </row>
    <row r="50" ht="22.5" customHeight="1">
      <c r="A50" s="2" t="s">
        <v>23</v>
      </c>
      <c r="B50" s="3">
        <v>100.0</v>
      </c>
      <c r="C50" s="3">
        <v>4.0</v>
      </c>
      <c r="D50" s="3">
        <v>0.104300975799561</v>
      </c>
      <c r="E50" s="3">
        <v>3.19361686706543E-4</v>
      </c>
      <c r="F50" s="3">
        <v>1952.0</v>
      </c>
      <c r="G50" s="3">
        <v>0.376196146011353</v>
      </c>
      <c r="H50" s="3">
        <v>6.36935234069824E-4</v>
      </c>
      <c r="I50" s="3">
        <v>3293.0</v>
      </c>
      <c r="J50" s="3">
        <v>0.0292878150939941</v>
      </c>
      <c r="K50" s="3">
        <v>2.76446342468262E-4</v>
      </c>
      <c r="L50" s="3">
        <v>0.020935</v>
      </c>
      <c r="M50" s="3">
        <v>0.030037</v>
      </c>
      <c r="N50" s="3">
        <v>0.0</v>
      </c>
    </row>
    <row r="51" ht="22.5" customHeight="1">
      <c r="A51" s="2" t="s">
        <v>23</v>
      </c>
      <c r="B51" s="3">
        <v>100.0</v>
      </c>
      <c r="C51" s="3">
        <v>5.0</v>
      </c>
      <c r="D51" s="3">
        <v>0.107198715209961</v>
      </c>
      <c r="E51" s="3">
        <v>3.1745433807373E-4</v>
      </c>
      <c r="F51" s="3">
        <v>1952.0</v>
      </c>
      <c r="G51" s="3">
        <v>0.227960348129272</v>
      </c>
      <c r="H51" s="3">
        <v>6.27994537353516E-4</v>
      </c>
      <c r="I51" s="3">
        <v>3293.0</v>
      </c>
      <c r="J51" s="3">
        <v>0.17758059501648</v>
      </c>
      <c r="K51" s="3">
        <v>2.87294387817383E-4</v>
      </c>
      <c r="L51" s="3">
        <v>0.024602</v>
      </c>
      <c r="M51" s="3">
        <v>0.03165</v>
      </c>
      <c r="N51" s="3">
        <v>0.0</v>
      </c>
    </row>
    <row r="52" ht="22.5" customHeight="1">
      <c r="A52" s="2" t="s">
        <v>24</v>
      </c>
      <c r="B52" s="3">
        <v>100.0</v>
      </c>
      <c r="C52" s="3">
        <v>1.0</v>
      </c>
      <c r="D52" s="3">
        <v>0.20086932182312</v>
      </c>
      <c r="E52" s="3">
        <v>4.64200973510742E-4</v>
      </c>
      <c r="F52" s="3">
        <v>2592.0</v>
      </c>
      <c r="G52" s="3">
        <v>0.466063261032105</v>
      </c>
      <c r="H52" s="3">
        <v>8.56161117553711E-4</v>
      </c>
      <c r="I52" s="3">
        <v>4595.0</v>
      </c>
      <c r="J52" s="3">
        <v>0.0462779998779297</v>
      </c>
      <c r="K52" s="3">
        <v>4.65869903564453E-4</v>
      </c>
      <c r="L52" s="3">
        <v>0.033337</v>
      </c>
      <c r="M52" s="3">
        <v>0.043053</v>
      </c>
      <c r="N52" s="3">
        <v>0.0</v>
      </c>
    </row>
    <row r="53" ht="22.5" customHeight="1">
      <c r="A53" s="2" t="s">
        <v>24</v>
      </c>
      <c r="B53" s="3">
        <v>100.0</v>
      </c>
      <c r="C53" s="3">
        <v>2.0</v>
      </c>
      <c r="D53" s="3">
        <v>0.352673053741455</v>
      </c>
      <c r="E53" s="3">
        <v>5.34296035766602E-4</v>
      </c>
      <c r="F53" s="3">
        <v>2592.0</v>
      </c>
      <c r="G53" s="3">
        <v>0.247886180877686</v>
      </c>
      <c r="H53" s="3">
        <v>9.15288925170898E-4</v>
      </c>
      <c r="I53" s="3">
        <v>4595.0</v>
      </c>
      <c r="J53" s="3">
        <v>0.199850082397461</v>
      </c>
      <c r="K53" s="3">
        <v>5.20825386047363E-4</v>
      </c>
      <c r="L53" s="3">
        <v>0.026106</v>
      </c>
      <c r="M53" s="3">
        <v>0.035822</v>
      </c>
      <c r="N53" s="3">
        <v>0.0</v>
      </c>
    </row>
    <row r="54" ht="22.5" customHeight="1">
      <c r="A54" s="2" t="s">
        <v>24</v>
      </c>
      <c r="B54" s="3">
        <v>100.0</v>
      </c>
      <c r="C54" s="3">
        <v>3.0</v>
      </c>
      <c r="D54" s="3">
        <v>0.26481556892395</v>
      </c>
      <c r="E54" s="3">
        <v>4.63962554931641E-4</v>
      </c>
      <c r="F54" s="3">
        <v>2592.0</v>
      </c>
      <c r="G54" s="3">
        <v>0.319209814071655</v>
      </c>
      <c r="H54" s="3">
        <v>8.23378562927246E-4</v>
      </c>
      <c r="I54" s="3">
        <v>4595.0</v>
      </c>
      <c r="J54" s="3">
        <v>0.121041059494019</v>
      </c>
      <c r="K54" s="3">
        <v>4.63962554931641E-4</v>
      </c>
      <c r="L54" s="3">
        <v>0.026394</v>
      </c>
      <c r="M54" s="3">
        <v>0.03611</v>
      </c>
      <c r="N54" s="3">
        <v>0.0</v>
      </c>
    </row>
    <row r="55" ht="22.5" customHeight="1">
      <c r="A55" s="2" t="s">
        <v>24</v>
      </c>
      <c r="B55" s="3">
        <v>100.0</v>
      </c>
      <c r="C55" s="3">
        <v>4.0</v>
      </c>
      <c r="D55" s="3">
        <v>0.273937702178955</v>
      </c>
      <c r="E55" s="3">
        <v>5.27858734130859E-4</v>
      </c>
      <c r="F55" s="3">
        <v>2592.0</v>
      </c>
      <c r="G55" s="3">
        <v>0.409150362014771</v>
      </c>
      <c r="H55" s="3">
        <v>8.97407531738281E-4</v>
      </c>
      <c r="I55" s="3">
        <v>4595.0</v>
      </c>
      <c r="J55" s="3">
        <v>0.125248432159424</v>
      </c>
      <c r="K55" s="3">
        <v>5.08546829223633E-4</v>
      </c>
      <c r="L55" s="3">
        <v>0.026554</v>
      </c>
      <c r="M55" s="3">
        <v>0.03627</v>
      </c>
      <c r="N55" s="3">
        <v>0.0</v>
      </c>
    </row>
    <row r="56" ht="22.5" customHeight="1">
      <c r="A56" s="2" t="s">
        <v>24</v>
      </c>
      <c r="B56" s="3">
        <v>100.0</v>
      </c>
      <c r="C56" s="3">
        <v>5.0</v>
      </c>
      <c r="D56" s="3">
        <v>0.0482549667358398</v>
      </c>
      <c r="E56" s="3">
        <v>4.74691390991211E-4</v>
      </c>
      <c r="F56" s="3">
        <v>2592.0</v>
      </c>
      <c r="G56" s="3">
        <v>0.397026300430298</v>
      </c>
      <c r="H56" s="3">
        <v>8.71777534484863E-4</v>
      </c>
      <c r="I56" s="3">
        <v>4595.0</v>
      </c>
      <c r="J56" s="3">
        <v>0.273001909255981</v>
      </c>
      <c r="K56" s="3">
        <v>4.76717948913574E-4</v>
      </c>
      <c r="L56" s="3">
        <v>0.026746</v>
      </c>
      <c r="M56" s="3">
        <v>0.036462</v>
      </c>
      <c r="N56" s="3">
        <v>0.0</v>
      </c>
    </row>
    <row r="57" ht="22.5" customHeight="1">
      <c r="A57" s="2" t="s">
        <v>25</v>
      </c>
      <c r="B57" s="3">
        <v>100.0</v>
      </c>
      <c r="C57" s="3">
        <v>1.0</v>
      </c>
      <c r="D57" s="3">
        <v>50.9681301116943</v>
      </c>
      <c r="E57" s="3">
        <v>0.51144003868103</v>
      </c>
      <c r="F57" s="3">
        <v>32.0</v>
      </c>
      <c r="G57" s="3">
        <v>391.300748586655</v>
      </c>
      <c r="H57" s="3">
        <v>3.99633228778839</v>
      </c>
      <c r="I57" s="3">
        <v>7856.0</v>
      </c>
      <c r="J57" s="3">
        <v>0.404821157455444</v>
      </c>
      <c r="K57" s="3">
        <v>0.00102758407592773</v>
      </c>
      <c r="L57" s="3">
        <v>0.020852</v>
      </c>
      <c r="M57" s="3">
        <v>0.03709</v>
      </c>
      <c r="N57" s="3">
        <v>0.0</v>
      </c>
    </row>
    <row r="58" ht="22.5" customHeight="1">
      <c r="A58" s="2" t="s">
        <v>25</v>
      </c>
      <c r="B58" s="3">
        <v>100.0</v>
      </c>
      <c r="C58" s="3">
        <v>2.0</v>
      </c>
      <c r="D58" s="3">
        <v>50.3666660785675</v>
      </c>
      <c r="E58" s="3">
        <v>0.50883150100708</v>
      </c>
      <c r="F58" s="3">
        <v>32.0</v>
      </c>
      <c r="G58" s="3">
        <v>372.819643974304</v>
      </c>
      <c r="H58" s="3">
        <v>3.71067404747009</v>
      </c>
      <c r="I58" s="3">
        <v>7856.0</v>
      </c>
      <c r="J58" s="3">
        <v>0.412962675094605</v>
      </c>
      <c r="K58" s="3">
        <v>0.00101733207702637</v>
      </c>
      <c r="L58" s="3">
        <v>0.016471</v>
      </c>
      <c r="M58" s="3">
        <v>0.032709</v>
      </c>
      <c r="N58" s="3">
        <v>0.0</v>
      </c>
    </row>
    <row r="59" ht="22.5" customHeight="1">
      <c r="A59" s="2" t="s">
        <v>25</v>
      </c>
      <c r="B59" s="3">
        <v>100.0</v>
      </c>
      <c r="C59" s="3">
        <v>3.0</v>
      </c>
      <c r="D59" s="3">
        <v>50.2595942020416</v>
      </c>
      <c r="E59" s="3">
        <v>0.509336471557617</v>
      </c>
      <c r="F59" s="3">
        <v>32.0</v>
      </c>
      <c r="G59" s="3">
        <v>374.921380519867</v>
      </c>
      <c r="H59" s="3">
        <v>3.71506643295288</v>
      </c>
      <c r="I59" s="3">
        <v>7856.0</v>
      </c>
      <c r="J59" s="3">
        <v>0.402175426483154</v>
      </c>
      <c r="K59" s="3">
        <v>9.88125801086426E-4</v>
      </c>
      <c r="L59" s="3">
        <v>0.018615</v>
      </c>
      <c r="M59" s="3">
        <v>0.034853</v>
      </c>
      <c r="N59" s="3">
        <v>0.0</v>
      </c>
    </row>
    <row r="60" ht="22.5" customHeight="1">
      <c r="A60" s="2" t="s">
        <v>25</v>
      </c>
      <c r="B60" s="3">
        <v>100.0</v>
      </c>
      <c r="C60" s="3">
        <v>4.0</v>
      </c>
      <c r="D60" s="3">
        <v>48.4467332363129</v>
      </c>
      <c r="E60" s="3">
        <v>0.508768200874329</v>
      </c>
      <c r="F60" s="3">
        <v>32.0</v>
      </c>
      <c r="G60" s="3">
        <v>374.406112909317</v>
      </c>
      <c r="H60" s="3">
        <v>3.69887781143188</v>
      </c>
      <c r="I60" s="3">
        <v>7856.0</v>
      </c>
      <c r="J60" s="3">
        <v>0.622245073318481</v>
      </c>
      <c r="K60" s="3">
        <v>0.00105047225952148</v>
      </c>
      <c r="L60" s="3">
        <v>0.016287</v>
      </c>
      <c r="M60" s="3">
        <v>0.032525</v>
      </c>
      <c r="N60" s="3">
        <v>0.0</v>
      </c>
    </row>
    <row r="61" ht="22.5" customHeight="1">
      <c r="A61" s="2" t="s">
        <v>25</v>
      </c>
      <c r="B61" s="3">
        <v>100.0</v>
      </c>
      <c r="C61" s="3">
        <v>5.0</v>
      </c>
      <c r="D61" s="3">
        <v>49.5460660457611</v>
      </c>
      <c r="E61" s="3">
        <v>0.512641072273254</v>
      </c>
      <c r="F61" s="3">
        <v>32.0</v>
      </c>
      <c r="G61" s="3">
        <v>369.839058160782</v>
      </c>
      <c r="H61" s="3">
        <v>3.70567405223846</v>
      </c>
      <c r="I61" s="3">
        <v>7856.0</v>
      </c>
      <c r="J61" s="3">
        <v>0.405033826828003</v>
      </c>
      <c r="K61" s="3">
        <v>0.00101649761199951</v>
      </c>
      <c r="L61" s="3">
        <v>0.016791</v>
      </c>
      <c r="M61" s="3">
        <v>0.033029</v>
      </c>
      <c r="N61" s="3">
        <v>0.0</v>
      </c>
    </row>
    <row r="62" ht="22.5" customHeight="1">
      <c r="A62" s="2" t="s">
        <v>26</v>
      </c>
      <c r="B62" s="3">
        <v>100.0</v>
      </c>
      <c r="C62" s="3">
        <v>1.0</v>
      </c>
      <c r="D62" s="3">
        <v>72.5422942638397</v>
      </c>
      <c r="E62" s="3">
        <v>0.788880705833435</v>
      </c>
      <c r="F62" s="3">
        <v>48.0</v>
      </c>
      <c r="G62" s="3">
        <v>681.037516117096</v>
      </c>
      <c r="H62" s="3">
        <v>6.80050981044769</v>
      </c>
      <c r="I62" s="3">
        <v>16224.0</v>
      </c>
      <c r="J62" s="3">
        <v>0.909278631210327</v>
      </c>
      <c r="K62" s="3">
        <v>0.00163650512695313</v>
      </c>
      <c r="L62" s="3">
        <v>0.032899</v>
      </c>
      <c r="M62" s="3">
        <v>0.065873</v>
      </c>
      <c r="N62" s="3">
        <v>0.0</v>
      </c>
    </row>
    <row r="63" ht="22.5" customHeight="1">
      <c r="A63" s="2" t="s">
        <v>26</v>
      </c>
      <c r="B63" s="3">
        <v>100.0</v>
      </c>
      <c r="C63" s="3">
        <v>2.0</v>
      </c>
      <c r="D63" s="3">
        <v>71.7383365631104</v>
      </c>
      <c r="E63" s="3">
        <v>0.795185685157776</v>
      </c>
      <c r="F63" s="3">
        <v>48.0</v>
      </c>
      <c r="G63" s="3">
        <v>684.492374658585</v>
      </c>
      <c r="H63" s="3">
        <v>6.89729773998261</v>
      </c>
      <c r="I63" s="3">
        <v>16224.0</v>
      </c>
      <c r="J63" s="3">
        <v>0.378889560699463</v>
      </c>
      <c r="K63" s="3">
        <v>0.0015265941619873</v>
      </c>
      <c r="L63" s="3">
        <v>0.025783</v>
      </c>
      <c r="M63" s="3">
        <v>0.058757</v>
      </c>
      <c r="N63" s="3">
        <v>0.0</v>
      </c>
    </row>
    <row r="64" ht="22.5" customHeight="1">
      <c r="A64" s="2" t="s">
        <v>26</v>
      </c>
      <c r="B64" s="3">
        <v>100.0</v>
      </c>
      <c r="C64" s="3">
        <v>3.0</v>
      </c>
      <c r="D64" s="3">
        <v>71.7922902107239</v>
      </c>
      <c r="E64" s="3">
        <v>0.794528007507324</v>
      </c>
      <c r="F64" s="3">
        <v>48.0</v>
      </c>
      <c r="G64" s="3">
        <v>684.092457532883</v>
      </c>
      <c r="H64" s="3">
        <v>6.89548528194428</v>
      </c>
      <c r="I64" s="3">
        <v>16224.0</v>
      </c>
      <c r="J64" s="3">
        <v>0.595691919326782</v>
      </c>
      <c r="K64" s="3">
        <v>0.00156378746032715</v>
      </c>
      <c r="L64" s="3">
        <v>0.025943</v>
      </c>
      <c r="M64" s="3">
        <v>0.058917</v>
      </c>
      <c r="N64" s="3">
        <v>0.0</v>
      </c>
    </row>
    <row r="65" ht="22.5" customHeight="1">
      <c r="A65" s="2" t="s">
        <v>26</v>
      </c>
      <c r="B65" s="3">
        <v>100.0</v>
      </c>
      <c r="C65" s="3">
        <v>4.0</v>
      </c>
      <c r="D65" s="3">
        <v>72.3406009674072</v>
      </c>
      <c r="E65" s="3">
        <v>0.789167046546936</v>
      </c>
      <c r="F65" s="3">
        <v>48.0</v>
      </c>
      <c r="G65" s="3">
        <v>683.509363889694</v>
      </c>
      <c r="H65" s="3">
        <v>6.80578196048737</v>
      </c>
      <c r="I65" s="3">
        <v>16224.0</v>
      </c>
      <c r="J65" s="3">
        <v>0.526566743850708</v>
      </c>
      <c r="K65" s="3">
        <v>0.0015263557434082</v>
      </c>
      <c r="L65" s="3">
        <v>0.026295</v>
      </c>
      <c r="M65" s="3">
        <v>0.059269</v>
      </c>
      <c r="N65" s="3">
        <v>0.0</v>
      </c>
    </row>
    <row r="66" ht="22.5" customHeight="1">
      <c r="A66" s="2" t="s">
        <v>26</v>
      </c>
      <c r="B66" s="3">
        <v>100.0</v>
      </c>
      <c r="C66" s="3">
        <v>5.0</v>
      </c>
      <c r="D66" s="3">
        <v>71.5300121307373</v>
      </c>
      <c r="E66" s="3">
        <v>0.794384717941284</v>
      </c>
      <c r="F66" s="3">
        <v>48.0</v>
      </c>
      <c r="G66" s="3">
        <v>684.621473073959</v>
      </c>
      <c r="H66" s="3">
        <v>6.805006980896</v>
      </c>
      <c r="I66" s="3">
        <v>16224.0</v>
      </c>
      <c r="J66" s="3">
        <v>0.527812242507935</v>
      </c>
      <c r="K66" s="3">
        <v>0.00157046318054199</v>
      </c>
      <c r="L66" s="3">
        <v>0.026519</v>
      </c>
      <c r="M66" s="3">
        <v>0.059493</v>
      </c>
      <c r="N66" s="3">
        <v>0.0</v>
      </c>
    </row>
    <row r="67" ht="22.5" customHeight="1">
      <c r="A67" s="2" t="s">
        <v>27</v>
      </c>
      <c r="B67" s="3">
        <v>100.0</v>
      </c>
      <c r="C67" s="3">
        <v>1.0</v>
      </c>
      <c r="D67" s="3">
        <v>48.7894384860992</v>
      </c>
      <c r="E67" s="3">
        <v>0.504977464675903</v>
      </c>
      <c r="F67" s="3">
        <v>64.0</v>
      </c>
      <c r="G67" s="3">
        <v>612.300689220429</v>
      </c>
      <c r="H67" s="3">
        <v>6.10312211513519</v>
      </c>
      <c r="I67" s="3">
        <v>29792.0</v>
      </c>
      <c r="J67" s="3">
        <v>0.597319841384888</v>
      </c>
      <c r="K67" s="3">
        <v>0.0021975040435791</v>
      </c>
      <c r="L67" s="3">
        <v>0.045273</v>
      </c>
      <c r="M67" s="3">
        <v>0.105383</v>
      </c>
      <c r="N67" s="3">
        <v>0.0</v>
      </c>
    </row>
    <row r="68" ht="22.5" customHeight="1">
      <c r="A68" s="2" t="s">
        <v>27</v>
      </c>
      <c r="B68" s="3">
        <v>100.0</v>
      </c>
      <c r="C68" s="3">
        <v>2.0</v>
      </c>
      <c r="D68" s="3">
        <v>46.2272028923035</v>
      </c>
      <c r="E68" s="3">
        <v>0.502124547958374</v>
      </c>
      <c r="F68" s="3">
        <v>64.0</v>
      </c>
      <c r="G68" s="3">
        <v>616.998773336411</v>
      </c>
      <c r="H68" s="3">
        <v>6.1954197883606</v>
      </c>
      <c r="I68" s="3">
        <v>29792.0</v>
      </c>
      <c r="J68" s="3">
        <v>0.669349908828735</v>
      </c>
      <c r="K68" s="3">
        <v>0.0023810863494873</v>
      </c>
      <c r="L68" s="3">
        <v>0.040711</v>
      </c>
      <c r="M68" s="3">
        <v>0.100821</v>
      </c>
      <c r="N68" s="3">
        <v>0.0</v>
      </c>
    </row>
    <row r="69" ht="22.5" customHeight="1">
      <c r="A69" s="2" t="s">
        <v>27</v>
      </c>
      <c r="B69" s="3">
        <v>100.0</v>
      </c>
      <c r="C69" s="3">
        <v>3.0</v>
      </c>
      <c r="D69" s="3">
        <v>46.9104692935944</v>
      </c>
      <c r="E69" s="3">
        <v>0.502038836479187</v>
      </c>
      <c r="F69" s="3">
        <v>64.0</v>
      </c>
      <c r="G69" s="3">
        <v>614.928616523743</v>
      </c>
      <c r="H69" s="3">
        <v>6.11065936088562</v>
      </c>
      <c r="I69" s="3">
        <v>29792.0</v>
      </c>
      <c r="J69" s="3">
        <v>0.731570482254028</v>
      </c>
      <c r="K69" s="3">
        <v>0.00213897228240967</v>
      </c>
      <c r="L69" s="3">
        <v>0.038567</v>
      </c>
      <c r="M69" s="3">
        <v>0.098677</v>
      </c>
      <c r="N69" s="3">
        <v>0.0</v>
      </c>
    </row>
    <row r="70" ht="22.5" customHeight="1">
      <c r="A70" s="2" t="s">
        <v>27</v>
      </c>
      <c r="B70" s="3">
        <v>100.0</v>
      </c>
      <c r="C70" s="3">
        <v>4.0</v>
      </c>
      <c r="D70" s="3">
        <v>47.0362629890442</v>
      </c>
      <c r="E70" s="3">
        <v>0.50301468372345</v>
      </c>
      <c r="F70" s="3">
        <v>64.0</v>
      </c>
      <c r="G70" s="3">
        <v>611.284129858017</v>
      </c>
      <c r="H70" s="3">
        <v>6.11351311206818</v>
      </c>
      <c r="I70" s="3">
        <v>29792.0</v>
      </c>
      <c r="J70" s="3">
        <v>0.743940830230713</v>
      </c>
      <c r="K70" s="3">
        <v>0.00220084190368652</v>
      </c>
      <c r="L70" s="3">
        <v>0.038759</v>
      </c>
      <c r="M70" s="3">
        <v>0.098869</v>
      </c>
      <c r="N70" s="3">
        <v>0.0</v>
      </c>
    </row>
    <row r="71" ht="22.5" customHeight="1">
      <c r="A71" s="2" t="s">
        <v>27</v>
      </c>
      <c r="B71" s="3">
        <v>100.0</v>
      </c>
      <c r="C71" s="3">
        <v>5.0</v>
      </c>
      <c r="D71" s="3">
        <v>48.2115755081177</v>
      </c>
      <c r="E71" s="3">
        <v>0.502989053726196</v>
      </c>
      <c r="F71" s="3">
        <v>64.0</v>
      </c>
      <c r="G71" s="3">
        <v>615.337995290756</v>
      </c>
      <c r="H71" s="3">
        <v>6.11343681812286</v>
      </c>
      <c r="I71" s="3">
        <v>29792.0</v>
      </c>
      <c r="J71" s="3">
        <v>1.03687119483948</v>
      </c>
      <c r="K71" s="3">
        <v>0.00218379497528076</v>
      </c>
      <c r="L71" s="3">
        <v>0.038983</v>
      </c>
      <c r="M71" s="3">
        <v>0.099093</v>
      </c>
      <c r="N71" s="3">
        <v>0.0</v>
      </c>
    </row>
  </sheetData>
  <dataValidations>
    <dataValidation type="custom" allowBlank="1" showDropDown="1" sqref="B2:N7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2">
      <c r="A2" s="19" t="s">
        <v>28</v>
      </c>
    </row>
    <row r="3">
      <c r="A3" s="5" t="s">
        <v>29</v>
      </c>
      <c r="B3" s="6" t="s">
        <v>15</v>
      </c>
      <c r="C3" s="7"/>
      <c r="D3" s="6" t="s">
        <v>16</v>
      </c>
      <c r="E3" s="7"/>
      <c r="F3" s="6" t="s">
        <v>17</v>
      </c>
      <c r="G3" s="7"/>
      <c r="H3" s="6" t="s">
        <v>30</v>
      </c>
      <c r="I3" s="7"/>
      <c r="J3" s="6" t="s">
        <v>14</v>
      </c>
      <c r="K3" s="7"/>
      <c r="L3" s="6" t="s">
        <v>19</v>
      </c>
      <c r="M3" s="7"/>
    </row>
    <row r="4">
      <c r="A4" s="8"/>
      <c r="B4" s="9" t="s">
        <v>31</v>
      </c>
      <c r="C4" s="9" t="s">
        <v>32</v>
      </c>
      <c r="D4" s="9" t="s">
        <v>31</v>
      </c>
      <c r="E4" s="9" t="s">
        <v>32</v>
      </c>
      <c r="F4" s="9" t="s">
        <v>31</v>
      </c>
      <c r="G4" s="9" t="s">
        <v>32</v>
      </c>
      <c r="H4" s="9" t="s">
        <v>31</v>
      </c>
      <c r="I4" s="9" t="s">
        <v>32</v>
      </c>
      <c r="J4" s="9" t="s">
        <v>31</v>
      </c>
      <c r="K4" s="9" t="s">
        <v>32</v>
      </c>
      <c r="L4" s="9" t="s">
        <v>31</v>
      </c>
      <c r="M4" s="9" t="s">
        <v>32</v>
      </c>
    </row>
    <row r="5">
      <c r="A5" s="10" t="s">
        <v>33</v>
      </c>
      <c r="B5" s="11">
        <f>MIN(extreme!E7:E11)*1000</f>
        <v>0.03385543823</v>
      </c>
      <c r="C5" s="11">
        <f>MAX(extreme!E7:E11)*1000</f>
        <v>0.04816055298</v>
      </c>
      <c r="D5" s="11">
        <f>MIN(extreme!E12:E16)*1000</f>
        <v>0.05578994751</v>
      </c>
      <c r="E5" s="11">
        <f>MAX(extreme!E12:E16)*1000</f>
        <v>0.06747245789</v>
      </c>
      <c r="F5" s="11">
        <f>MIN(extreme!E17:E21)*1000</f>
        <v>0.06341934204</v>
      </c>
      <c r="G5" s="11">
        <f>MAX(extreme!E17:E21)*1000</f>
        <v>0.09036064148</v>
      </c>
      <c r="H5" s="11">
        <f>MIN(extreme!E22:E26)*1000</f>
        <v>0.6042718887</v>
      </c>
      <c r="I5" s="11">
        <f>MAX(extreme!E22:E26)*1000</f>
        <v>0.7331371307</v>
      </c>
      <c r="J5" s="11">
        <f>MIN(extreme!E2:E6)*1000</f>
        <v>104.344964</v>
      </c>
      <c r="K5" s="11">
        <f>MAX(extreme!E2:E6)*1000</f>
        <v>105.5458784</v>
      </c>
      <c r="L5" s="11">
        <f>MIN(extreme!E27:E31)*1000</f>
        <v>0.107884407</v>
      </c>
      <c r="M5" s="11">
        <f>MAX(extreme!E27:E31)*1000</f>
        <v>0.128030777</v>
      </c>
    </row>
    <row r="6">
      <c r="A6" s="10" t="s">
        <v>34</v>
      </c>
      <c r="B6" s="11">
        <f>MIN(extreme!G$7:G$11)*1000</f>
        <v>3.980875015</v>
      </c>
      <c r="C6" s="11">
        <f>MAX(extreme!G$7:G$11)*1000</f>
        <v>80.34825325</v>
      </c>
      <c r="D6" s="11">
        <f>MIN(extreme!G$12:G$16)*1000</f>
        <v>6.37960434</v>
      </c>
      <c r="E6" s="11">
        <f>MAX(extreme!G$12:G$16)*1000</f>
        <v>84.61546898</v>
      </c>
      <c r="F6" s="11">
        <f>MIN(extreme!G$17:G$21)*1000</f>
        <v>7.427692413</v>
      </c>
      <c r="G6" s="11">
        <f>MAX(extreme!G$17:G$21)*1000</f>
        <v>85.71863174</v>
      </c>
      <c r="H6" s="11">
        <f>MIN(extreme!G$22:G$26)*1000</f>
        <v>404.9839973</v>
      </c>
      <c r="I6" s="11">
        <f>MAX(extreme!G$22:G$26)*1000</f>
        <v>633.3870888</v>
      </c>
      <c r="J6" s="11">
        <f>MIN(extreme!G$2:G$6)*1000</f>
        <v>379.5354366</v>
      </c>
      <c r="K6" s="11">
        <f>MAX(extreme!G$2:G$6)*1000</f>
        <v>768.7785625</v>
      </c>
      <c r="L6" s="11">
        <f>MIN(extreme!G$27:G$31)*1000</f>
        <v>97.13339806</v>
      </c>
      <c r="M6" s="11">
        <f>MAX(extreme!G$27:G$31)*1000</f>
        <v>172.3966599</v>
      </c>
    </row>
    <row r="7">
      <c r="A7" s="10" t="s">
        <v>35</v>
      </c>
      <c r="B7" s="11">
        <f>MIN(extreme!J$7:J$11)*1000</f>
        <v>3.774166107</v>
      </c>
      <c r="C7" s="11">
        <f>MAX(extreme!J$7:J$11)*1000</f>
        <v>79.64348793</v>
      </c>
      <c r="D7" s="11">
        <f>MIN(extreme!J$12:J$16)*1000</f>
        <v>6.338119507</v>
      </c>
      <c r="E7" s="11">
        <f>MAX(extreme!J$12:J$16)*1000</f>
        <v>41.63956642</v>
      </c>
      <c r="F7" s="11">
        <f>MIN(extreme!J$17:J$21)*1000</f>
        <v>8.696556091</v>
      </c>
      <c r="G7" s="11">
        <f>MAX(extreme!J$17:J$21)*1000</f>
        <v>83.34374428</v>
      </c>
      <c r="H7" s="11">
        <f>MIN(extreme!J$22:J$26)*1000</f>
        <v>333.0821991</v>
      </c>
      <c r="I7" s="11">
        <f>MAX(extreme!J$22:J$26)*1000</f>
        <v>575.1540661</v>
      </c>
      <c r="J7" s="11">
        <f>MIN(extreme!J$2:J$6)*1000</f>
        <v>8677.656174</v>
      </c>
      <c r="K7" s="11">
        <f>MAX(extreme!J$2:J$6)*1000</f>
        <v>9236.872673</v>
      </c>
      <c r="L7" s="11">
        <f>MIN(extreme!J$27:J$31)*1000</f>
        <v>11.04974747</v>
      </c>
      <c r="M7" s="11">
        <f>MAX(extreme!J$27:J$31)*1000</f>
        <v>85.21580696</v>
      </c>
    </row>
    <row r="8">
      <c r="A8" s="10" t="s">
        <v>36</v>
      </c>
      <c r="B8" s="12">
        <f>extreme!F7</f>
        <v>800</v>
      </c>
      <c r="C8" s="7"/>
      <c r="D8" s="12">
        <f>extreme!F12</f>
        <v>1184</v>
      </c>
      <c r="E8" s="7"/>
      <c r="F8" s="12">
        <f>extreme!F17</f>
        <v>1568</v>
      </c>
      <c r="G8" s="7"/>
      <c r="H8" s="13">
        <f>extreme!F22</f>
        <v>9616</v>
      </c>
      <c r="I8" s="7"/>
      <c r="J8" s="12">
        <f>extreme!F2</f>
        <v>1541</v>
      </c>
      <c r="K8" s="7"/>
      <c r="L8" s="12">
        <f>extreme!F27</f>
        <v>32</v>
      </c>
      <c r="M8" s="7"/>
    </row>
    <row r="9">
      <c r="A9" s="10" t="s">
        <v>37</v>
      </c>
      <c r="B9" s="12">
        <f>extreme!I8</f>
        <v>768</v>
      </c>
      <c r="C9" s="7"/>
      <c r="D9" s="12">
        <f>extreme!I13</f>
        <v>1088</v>
      </c>
      <c r="E9" s="7"/>
      <c r="F9" s="12">
        <f>extreme!I18</f>
        <v>1568</v>
      </c>
      <c r="G9" s="7"/>
      <c r="H9" s="13">
        <f>extreme!I23</f>
        <v>9720</v>
      </c>
      <c r="I9" s="7"/>
      <c r="J9" s="12">
        <f>extreme!I3</f>
        <v>1573</v>
      </c>
      <c r="K9" s="7"/>
      <c r="L9" s="12">
        <f>extreme!I28</f>
        <v>32</v>
      </c>
      <c r="M9" s="7"/>
    </row>
    <row r="10">
      <c r="A10" s="10" t="s">
        <v>38</v>
      </c>
      <c r="B10" s="11">
        <f>MIN(extreme!M$7:M$11)*1024</f>
        <v>18.116608</v>
      </c>
      <c r="C10" s="11">
        <f>MAX(extreme!M$7:M$11)*1024</f>
        <v>28.602368</v>
      </c>
      <c r="D10" s="11">
        <f>MIN(extreme!M$12:M$16)*1024</f>
        <v>20.475904</v>
      </c>
      <c r="E10" s="11">
        <f>MAX(extreme!M$12:M$16)*1024</f>
        <v>28.879872</v>
      </c>
      <c r="F10" s="11">
        <f>MIN(extreme!M$17:M$21)*1024</f>
        <v>23.619584</v>
      </c>
      <c r="G10" s="11">
        <f>MAX(extreme!M$17:M$21)*1024</f>
        <v>28.676096</v>
      </c>
      <c r="H10" s="11">
        <f>MIN(extreme!M$22:M$26)*1024</f>
        <v>100.20864</v>
      </c>
      <c r="I10" s="11">
        <f>MAX(extreme!M$22:M$26)*1024</f>
        <v>110.017536</v>
      </c>
      <c r="J10" s="11">
        <f>MIN(extreme!M$2:M$6)*1024</f>
        <v>30.44352</v>
      </c>
      <c r="K10" s="11">
        <f>MAX(extreme!M$2:M$6)*1024</f>
        <v>44.312576</v>
      </c>
      <c r="L10" s="11">
        <f>MIN(extreme!M$27:M$31)*1024</f>
        <v>9.007104</v>
      </c>
      <c r="M10" s="11">
        <f>MAX(extreme!M$27:M$31)*1024</f>
        <v>293.63712</v>
      </c>
    </row>
    <row r="11">
      <c r="A11" s="10" t="s">
        <v>39</v>
      </c>
      <c r="B11" s="12">
        <f>SUM(extreme!B7:B11)/SUM(extreme!D7:D11)</f>
        <v>22443.11505</v>
      </c>
      <c r="C11" s="7"/>
      <c r="D11" s="12">
        <f>SUM(extreme!B12:B16)/SUM(extreme!D12:D16)</f>
        <v>2764.677965</v>
      </c>
      <c r="E11" s="7"/>
      <c r="F11" s="12">
        <f>SUM(extreme!B17:B21)/SUM(extreme!D17:D21)</f>
        <v>11552.07421</v>
      </c>
      <c r="G11" s="7"/>
      <c r="H11" s="13">
        <f>SUM(extreme!B22:B26)/SUM(extreme!D22:D26)</f>
        <v>574.1865322</v>
      </c>
      <c r="I11" s="7"/>
      <c r="J11" s="12">
        <f>SUM(extreme!B2:B6)/SUM(extreme!D2:D6)</f>
        <v>8.705249543</v>
      </c>
      <c r="K11" s="7"/>
      <c r="L11" s="12">
        <f>SUM(extreme!B27:B31)/SUM(extreme!D27:D31)</f>
        <v>1746.455086</v>
      </c>
      <c r="M11" s="7"/>
    </row>
    <row r="12">
      <c r="A12" s="10" t="s">
        <v>51</v>
      </c>
      <c r="B12" s="20">
        <v>0.0</v>
      </c>
      <c r="C12" s="7"/>
      <c r="D12" s="20">
        <v>0.0</v>
      </c>
      <c r="E12" s="7"/>
      <c r="F12" s="20">
        <v>0.0</v>
      </c>
      <c r="G12" s="7"/>
      <c r="H12" s="20">
        <v>0.0</v>
      </c>
      <c r="I12" s="7"/>
      <c r="J12" s="20">
        <v>0.0</v>
      </c>
      <c r="K12" s="7"/>
      <c r="L12" s="20">
        <v>0.0</v>
      </c>
      <c r="M12" s="7"/>
    </row>
    <row r="13">
      <c r="A13" s="10" t="s">
        <v>52</v>
      </c>
      <c r="B13" s="21">
        <f>((recapunconstrained!B11-B11)/recapunconstrained!B11)</f>
        <v>0.2289417078</v>
      </c>
      <c r="C13" s="7"/>
      <c r="D13" s="21">
        <f>((recapunconstrained!D11-D11)/recapunconstrained!D11)</f>
        <v>0.8800345922</v>
      </c>
      <c r="E13" s="7"/>
      <c r="F13" s="21">
        <f>((recapunconstrained!F11-F11)/recapunconstrained!F11)</f>
        <v>0.4027454156</v>
      </c>
      <c r="G13" s="7"/>
      <c r="H13" s="21">
        <f>((recapunconstrained!H11-H11)/recapunconstrained!H11)</f>
        <v>0.8592975336</v>
      </c>
      <c r="I13" s="7"/>
      <c r="J13" s="21">
        <f>((recapunconstrained!J11-J11)/recapunconstrained!J11)</f>
        <v>0.9144254508</v>
      </c>
      <c r="K13" s="7"/>
      <c r="L13" s="21">
        <f>((recapunconstrained!L11-L11)/recapunconstrained!L11)</f>
        <v>0.9242491495</v>
      </c>
      <c r="M13" s="7"/>
    </row>
    <row r="14">
      <c r="A14" s="19" t="s">
        <v>40</v>
      </c>
    </row>
    <row r="15">
      <c r="A15" s="5" t="s">
        <v>29</v>
      </c>
      <c r="B15" s="6" t="s">
        <v>41</v>
      </c>
      <c r="C15" s="7"/>
      <c r="D15" s="6" t="s">
        <v>42</v>
      </c>
      <c r="E15" s="7"/>
      <c r="F15" s="6" t="s">
        <v>43</v>
      </c>
      <c r="G15" s="7"/>
      <c r="H15" s="6" t="s">
        <v>44</v>
      </c>
      <c r="I15" s="7"/>
      <c r="J15" s="6" t="s">
        <v>45</v>
      </c>
      <c r="K15" s="7"/>
      <c r="L15" s="6" t="s">
        <v>46</v>
      </c>
      <c r="M15" s="7"/>
      <c r="N15" s="6" t="s">
        <v>47</v>
      </c>
      <c r="O15" s="7"/>
      <c r="P15" s="6" t="s">
        <v>21</v>
      </c>
      <c r="Q15" s="7"/>
    </row>
    <row r="16">
      <c r="A16" s="8"/>
      <c r="B16" s="9" t="s">
        <v>31</v>
      </c>
      <c r="C16" s="9" t="s">
        <v>32</v>
      </c>
      <c r="D16" s="9" t="s">
        <v>31</v>
      </c>
      <c r="E16" s="9" t="s">
        <v>32</v>
      </c>
      <c r="F16" s="9" t="s">
        <v>31</v>
      </c>
      <c r="G16" s="9" t="s">
        <v>32</v>
      </c>
      <c r="H16" s="9" t="s">
        <v>31</v>
      </c>
      <c r="I16" s="9" t="s">
        <v>32</v>
      </c>
      <c r="J16" s="9" t="s">
        <v>31</v>
      </c>
      <c r="K16" s="9" t="s">
        <v>32</v>
      </c>
      <c r="L16" s="9" t="s">
        <v>31</v>
      </c>
      <c r="M16" s="9" t="s">
        <v>32</v>
      </c>
      <c r="N16" s="14" t="s">
        <v>31</v>
      </c>
      <c r="O16" s="14" t="s">
        <v>32</v>
      </c>
      <c r="P16" s="14" t="s">
        <v>31</v>
      </c>
      <c r="Q16" s="14" t="s">
        <v>32</v>
      </c>
    </row>
    <row r="17">
      <c r="A17" s="10" t="s">
        <v>33</v>
      </c>
      <c r="B17" s="11">
        <f>MIN(extreme!E$42:E$46)*1000</f>
        <v>0.1221895218</v>
      </c>
      <c r="C17" s="11">
        <f>MAX(extreme!E$42:E$46)*1000</f>
        <v>0.1771450043</v>
      </c>
      <c r="D17" s="11">
        <f>MIN(extreme!E$47:E$51)*1000</f>
        <v>0.3087520599</v>
      </c>
      <c r="E17" s="11">
        <f>MAX(extreme!E$47:E$51)*1000</f>
        <v>0.323176384</v>
      </c>
      <c r="F17" s="11">
        <f>MIN(extreme!E$52:E$56)*1000</f>
        <v>0.4639625549</v>
      </c>
      <c r="G17" s="11">
        <f>MAX(extreme!E$52:E$56)*1000</f>
        <v>0.5342960358</v>
      </c>
      <c r="H17" s="11">
        <f>MIN(extreme!E$57:E$61)*1000</f>
        <v>508.7682009</v>
      </c>
      <c r="I17" s="11">
        <f>MAX(extreme!E$57:E$61)*1000</f>
        <v>512.6410723</v>
      </c>
      <c r="J17" s="11">
        <f>MIN(extreme!E$62:E$66)*1000</f>
        <v>788.8807058</v>
      </c>
      <c r="K17" s="11">
        <f>MAX(extreme!E$62:E$66)*1000</f>
        <v>795.1856852</v>
      </c>
      <c r="L17" s="11">
        <f>MIN(extreme!E$67:E$71)*1000</f>
        <v>502.0388365</v>
      </c>
      <c r="M17" s="11">
        <f>MAX(extreme!E$67:E$71)*1000</f>
        <v>504.9774647</v>
      </c>
      <c r="N17" s="11">
        <f>MIN(extreme!E32:E36)*1000</f>
        <v>0.1410245895</v>
      </c>
      <c r="O17" s="11">
        <f>MAX(extreme!E32:E36)*1000</f>
        <v>0.1451969147</v>
      </c>
      <c r="P17" s="11">
        <f>MIN(extreme!E$32:E$36)*1000</f>
        <v>0.1410245895</v>
      </c>
      <c r="Q17" s="11">
        <f>MAX(extreme!E$32:E$36)*1000</f>
        <v>0.1451969147</v>
      </c>
    </row>
    <row r="18">
      <c r="A18" s="10" t="s">
        <v>48</v>
      </c>
      <c r="B18" s="11">
        <f>MIN(extreme!G$42:G$46)*1000</f>
        <v>111.938715</v>
      </c>
      <c r="C18" s="11">
        <f>MAX(extreme!G$42:G$46)*1000</f>
        <v>252.1469593</v>
      </c>
      <c r="D18" s="11">
        <f>MIN(extreme!G$47:G$51)*1000</f>
        <v>74.43618774</v>
      </c>
      <c r="E18" s="11">
        <f>MAX(extreme!G$47:G$51)*1000</f>
        <v>455.9791088</v>
      </c>
      <c r="F18" s="11">
        <f>MIN(extreme!G$52:G$56)*1000</f>
        <v>247.8861809</v>
      </c>
      <c r="G18" s="11">
        <f>MAX(extreme!G$52:G$56)*1000</f>
        <v>466.063261</v>
      </c>
      <c r="H18" s="11">
        <f>MIN(extreme!G$57:G$61)*1000</f>
        <v>369839.0582</v>
      </c>
      <c r="I18" s="11">
        <f>MAX(extreme!G$57:G$61)*1000</f>
        <v>391300.7486</v>
      </c>
      <c r="J18" s="11">
        <f>MIN(extreme!G$62:G$66)*1000</f>
        <v>681037.5161</v>
      </c>
      <c r="K18" s="11">
        <f>MAX(extreme!G$62:G$66)*1000</f>
        <v>684621.4731</v>
      </c>
      <c r="L18" s="11">
        <f>MIN(extreme!G$67:G$71)*1000</f>
        <v>611284.1299</v>
      </c>
      <c r="M18" s="11">
        <f>MAX(extreme!G$67:G$71)*1000</f>
        <v>616998.7733</v>
      </c>
      <c r="N18" s="11">
        <f>Min(extreme!H32:H36)*1000</f>
        <v>0.1204013824</v>
      </c>
      <c r="O18" s="11">
        <f>MAX(extreme!H32:H36)*1000</f>
        <v>0.1232624054</v>
      </c>
      <c r="P18" s="11">
        <f>MIN(extreme!G$32:G$36)*1000</f>
        <v>12.21084595</v>
      </c>
      <c r="Q18" s="11">
        <f>MAX(extreme!G$32:G$36)*1000</f>
        <v>161.0474586</v>
      </c>
    </row>
    <row r="19">
      <c r="A19" s="10" t="s">
        <v>49</v>
      </c>
      <c r="B19" s="11">
        <f>MIN(extreme!J$42:J$46)*1000</f>
        <v>12.61043549</v>
      </c>
      <c r="C19" s="11">
        <f>MAX(extreme!J$42:J$46)*1000</f>
        <v>92.45848656</v>
      </c>
      <c r="D19" s="11">
        <f>MIN(extreme!J$47:J$51)*1000</f>
        <v>27.88949013</v>
      </c>
      <c r="E19" s="11">
        <f>MAX(extreme!J$47:J$51)*1000</f>
        <v>196.88344</v>
      </c>
      <c r="F19" s="11">
        <f>MIN(extreme!J$52:J$56)*1000</f>
        <v>46.27799988</v>
      </c>
      <c r="G19" s="11">
        <f>MAX(extreme!J$52:J$56)*1000</f>
        <v>273.0019093</v>
      </c>
      <c r="H19" s="11">
        <f>MIN(extreme!J$57:J$61)*1000</f>
        <v>402.1754265</v>
      </c>
      <c r="I19" s="11">
        <f>MAX(extreme!J$57:J$61)*1000</f>
        <v>622.2450733</v>
      </c>
      <c r="J19" s="11">
        <f>MIN(extreme!J$62:J$66)*1000</f>
        <v>378.8895607</v>
      </c>
      <c r="K19" s="11">
        <f>MAX(extreme!J$62:J$66)*1000</f>
        <v>909.2786312</v>
      </c>
      <c r="L19" s="11">
        <f>MIN(extreme!J$67:J$71)*1000</f>
        <v>597.3198414</v>
      </c>
      <c r="M19" s="11">
        <f>MAX(extreme!J$67:J$71)*1000</f>
        <v>1036.871195</v>
      </c>
      <c r="N19" s="11">
        <f>Min(extreme!K32:K36)*1000</f>
        <v>0.2292394638</v>
      </c>
      <c r="O19" s="11">
        <f>MAX(extreme!K32:K36)*1000</f>
        <v>0.2316236496</v>
      </c>
      <c r="P19" s="11">
        <f>MIN(extreme!J$32:J$36)*1000</f>
        <v>24.35612679</v>
      </c>
      <c r="Q19" s="11">
        <f>MAX(extreme!J$32:J$36)*1000</f>
        <v>173.2997894</v>
      </c>
    </row>
    <row r="20">
      <c r="A20" s="10" t="s">
        <v>36</v>
      </c>
      <c r="B20" s="12">
        <f>extreme!F42</f>
        <v>1312</v>
      </c>
      <c r="C20" s="7"/>
      <c r="D20" s="12">
        <f>extreme!F47</f>
        <v>1952</v>
      </c>
      <c r="E20" s="7"/>
      <c r="F20" s="12">
        <f>extreme!F52</f>
        <v>2592</v>
      </c>
      <c r="G20" s="7"/>
      <c r="H20" s="13">
        <f>extreme!F57</f>
        <v>32</v>
      </c>
      <c r="I20" s="7"/>
      <c r="J20" s="12">
        <f>extreme!F62</f>
        <v>48</v>
      </c>
      <c r="K20" s="7"/>
      <c r="L20" s="12">
        <f>extreme!F67</f>
        <v>64</v>
      </c>
      <c r="M20" s="7"/>
      <c r="N20" s="12">
        <f>extreme!F32</f>
        <v>178</v>
      </c>
      <c r="O20" s="7"/>
      <c r="P20" s="15">
        <f>extreme!F37</f>
        <v>451</v>
      </c>
      <c r="Q20" s="7"/>
    </row>
    <row r="21">
      <c r="A21" s="10" t="s">
        <v>37</v>
      </c>
      <c r="B21" s="12">
        <f>extreme!I43</f>
        <v>2420</v>
      </c>
      <c r="C21" s="7"/>
      <c r="D21" s="12">
        <f>extreme!I48</f>
        <v>3293</v>
      </c>
      <c r="E21" s="7"/>
      <c r="F21" s="12">
        <f>extreme!I53</f>
        <v>4595</v>
      </c>
      <c r="G21" s="7"/>
      <c r="H21" s="13">
        <f>extreme!I58</f>
        <v>7856</v>
      </c>
      <c r="I21" s="7"/>
      <c r="J21" s="12">
        <f>extreme!I63</f>
        <v>16224</v>
      </c>
      <c r="K21" s="7"/>
      <c r="L21" s="12">
        <f>extreme!I68</f>
        <v>29792</v>
      </c>
      <c r="M21" s="7"/>
      <c r="N21" s="12">
        <f>extreme!I32</f>
        <v>71</v>
      </c>
      <c r="O21" s="7"/>
      <c r="P21" s="15">
        <f>extreme!I38</f>
        <v>256</v>
      </c>
      <c r="Q21" s="7"/>
    </row>
    <row r="22">
      <c r="A22" s="10" t="s">
        <v>38</v>
      </c>
      <c r="B22" s="11">
        <f>MIN(extreme!M$42:M$46)*1024</f>
        <v>23.90528</v>
      </c>
      <c r="C22" s="11">
        <f>MAX(extreme!M$42:M$46)*1024</f>
        <v>37.96992</v>
      </c>
      <c r="D22" s="11">
        <f>MIN(extreme!M$47:M$51)*1024</f>
        <v>30.757888</v>
      </c>
      <c r="E22" s="11">
        <f>MAX(extreme!M$47:M$51)*1024</f>
        <v>36.98176</v>
      </c>
      <c r="F22" s="11">
        <f>MIN(extreme!M$52:M$56)*1024</f>
        <v>36.681728</v>
      </c>
      <c r="G22" s="11">
        <f>MAX(extreme!M$52:M$56)*1024</f>
        <v>44.086272</v>
      </c>
      <c r="H22" s="11">
        <f>MIN(extreme!M$57:M$61)*1024</f>
        <v>33.3056</v>
      </c>
      <c r="I22" s="11">
        <f>MAX(extreme!M$57:M$61)*1024</f>
        <v>37.98016</v>
      </c>
      <c r="J22" s="11">
        <f>MIN(extreme!M$62:M$66)*1024</f>
        <v>60.167168</v>
      </c>
      <c r="K22" s="11">
        <f>MAX(extreme!M$62:M$66)*1024</f>
        <v>67.453952</v>
      </c>
      <c r="L22" s="11">
        <f>MIN(extreme!M$67:M$71)*1024</f>
        <v>101.045248</v>
      </c>
      <c r="M22" s="11">
        <f>MAX(extreme!M$67:M$71)*1024</f>
        <v>107.912192</v>
      </c>
      <c r="N22" s="11">
        <f>MIN(extreme!M32:M36)</f>
        <v>0.010734</v>
      </c>
      <c r="O22" s="11">
        <f>MIN(extreme!M32:M36)</f>
        <v>0.010734</v>
      </c>
      <c r="P22" s="11">
        <f>MIN(extreme!M$32:M$36)*1024</f>
        <v>10.991616</v>
      </c>
      <c r="Q22" s="11">
        <f>MAX(extreme!M$32:M$36)*1024</f>
        <v>21.060608</v>
      </c>
    </row>
    <row r="23">
      <c r="A23" s="10" t="s">
        <v>39</v>
      </c>
      <c r="B23" s="22">
        <f>SUM(extreme!B42:B46)/SUM(extreme!D42:D46)</f>
        <v>1073.895228</v>
      </c>
      <c r="C23" s="7"/>
      <c r="D23" s="22">
        <f>SUM(extreme!B47:B51)/SUM(extreme!D47:D51)</f>
        <v>733.6359785</v>
      </c>
      <c r="E23" s="7"/>
      <c r="F23" s="22">
        <f>SUM(extreme!B52:B56)/SUM(extreme!D52:D56)</f>
        <v>438.3847539</v>
      </c>
      <c r="G23" s="7"/>
      <c r="H23" s="23">
        <f>SUM(extreme!B57:B61)/SUM(extreme!D57:D61)</f>
        <v>2.003307945</v>
      </c>
      <c r="I23" s="7"/>
      <c r="J23" s="22">
        <f>SUM(extreme!B62:B66)/SUM(extreme!D62:D66)</f>
        <v>1.38910677</v>
      </c>
      <c r="K23" s="7"/>
      <c r="L23" s="22">
        <f>SUM(extreme!B67:B71)/SUM(extreme!D67:D71)</f>
        <v>2.108148444</v>
      </c>
      <c r="M23" s="7"/>
      <c r="N23" s="12">
        <f>SUM(extreme!B32:B36)/SUM(extreme!D32:D36)</f>
        <v>1654.805849</v>
      </c>
      <c r="O23" s="7"/>
      <c r="P23" s="24">
        <f>SUM(extreme!B37:B41)/SUM(extreme!D37:D41)</f>
        <v>2.100635932</v>
      </c>
      <c r="Q23" s="7"/>
    </row>
    <row r="24">
      <c r="A24" s="10" t="s">
        <v>51</v>
      </c>
      <c r="B24" s="20">
        <v>0.0</v>
      </c>
      <c r="C24" s="7"/>
      <c r="D24" s="20">
        <v>0.0</v>
      </c>
      <c r="E24" s="7"/>
      <c r="F24" s="20">
        <v>0.0</v>
      </c>
      <c r="G24" s="7"/>
      <c r="H24" s="20">
        <v>0.0</v>
      </c>
      <c r="I24" s="7"/>
      <c r="J24" s="20">
        <v>0.0</v>
      </c>
      <c r="K24" s="7"/>
      <c r="L24" s="20">
        <v>0.0</v>
      </c>
      <c r="M24" s="7"/>
      <c r="N24" s="20">
        <v>0.0</v>
      </c>
      <c r="O24" s="7"/>
      <c r="P24" s="20">
        <v>0.0</v>
      </c>
      <c r="Q24" s="7"/>
    </row>
    <row r="25">
      <c r="A25" s="10" t="s">
        <v>52</v>
      </c>
      <c r="B25" s="21">
        <f>((recapunconstrained!B23-B23)/recapunconstrained!B23)</f>
        <v>0.9282308999</v>
      </c>
      <c r="C25" s="7"/>
      <c r="D25" s="21">
        <f>((recapunconstrained!D23-D23)/recapunconstrained!D23)</f>
        <v>0.8969335399</v>
      </c>
      <c r="E25" s="7"/>
      <c r="F25" s="21">
        <f>((recapunconstrained!F23-F23)/recapunconstrained!F23)</f>
        <v>0.9122817433</v>
      </c>
      <c r="G25" s="7"/>
      <c r="H25" s="21">
        <f>((recapunconstrained!H23-H23)/recapunconstrained!H23)</f>
        <v>0.9000323255</v>
      </c>
      <c r="I25" s="7"/>
      <c r="J25" s="21">
        <f>((recapunconstrained!J23-J23)/recapunconstrained!J23)</f>
        <v>0.8855278585</v>
      </c>
      <c r="K25" s="7"/>
      <c r="L25" s="21">
        <f>((recapunconstrained!L23-L23)/recapunconstrained!L23)</f>
        <v>0.8807374261</v>
      </c>
      <c r="M25" s="7"/>
      <c r="N25" s="21">
        <f>((recapunconstrained!N23-N23)/recapunconstrained!N23)</f>
        <v>0.9159661014</v>
      </c>
      <c r="O25" s="7"/>
      <c r="P25" s="21">
        <f>((recapunconstrained!P23-P23)/recapunconstrained!P23)</f>
        <v>0.9172455617</v>
      </c>
      <c r="Q25" s="7"/>
    </row>
    <row r="28">
      <c r="A28" s="17" t="s">
        <v>50</v>
      </c>
      <c r="B28" s="18">
        <f>SUM(SUM(Table1[generate_total_time]), SUM(Table1[encapsulate_total_time]), SUM(Table1[decapsulate_total_time])) / 60</f>
        <v>159.8826444</v>
      </c>
    </row>
    <row r="29">
      <c r="A29" s="8"/>
      <c r="B29" s="8"/>
    </row>
  </sheetData>
  <mergeCells count="88">
    <mergeCell ref="J15:K15"/>
    <mergeCell ref="L15:M15"/>
    <mergeCell ref="N15:O15"/>
    <mergeCell ref="P15:Q15"/>
    <mergeCell ref="B13:C13"/>
    <mergeCell ref="D13:E13"/>
    <mergeCell ref="F13:G13"/>
    <mergeCell ref="H13:I13"/>
    <mergeCell ref="J13:K13"/>
    <mergeCell ref="L13:M13"/>
    <mergeCell ref="A15:A16"/>
    <mergeCell ref="F15:G15"/>
    <mergeCell ref="H15:I15"/>
    <mergeCell ref="B15:C15"/>
    <mergeCell ref="D15:E15"/>
    <mergeCell ref="B20:C20"/>
    <mergeCell ref="D20:E20"/>
    <mergeCell ref="F20:G20"/>
    <mergeCell ref="H20:I20"/>
    <mergeCell ref="J20:K20"/>
    <mergeCell ref="D23:E23"/>
    <mergeCell ref="F23:G23"/>
    <mergeCell ref="H23:I23"/>
    <mergeCell ref="J23:K23"/>
    <mergeCell ref="L23:M23"/>
    <mergeCell ref="N23:O23"/>
    <mergeCell ref="P23:Q23"/>
    <mergeCell ref="N24:O24"/>
    <mergeCell ref="P24:Q24"/>
    <mergeCell ref="B25:C25"/>
    <mergeCell ref="D25:E25"/>
    <mergeCell ref="F25:G25"/>
    <mergeCell ref="H25:I25"/>
    <mergeCell ref="J25:K25"/>
    <mergeCell ref="L25:M25"/>
    <mergeCell ref="N25:O25"/>
    <mergeCell ref="P25:Q25"/>
    <mergeCell ref="A28:A29"/>
    <mergeCell ref="B28:B29"/>
    <mergeCell ref="B23:C23"/>
    <mergeCell ref="B24:C24"/>
    <mergeCell ref="D24:E24"/>
    <mergeCell ref="F24:G24"/>
    <mergeCell ref="H24:I24"/>
    <mergeCell ref="J24:K24"/>
    <mergeCell ref="L24:M24"/>
    <mergeCell ref="A3:A4"/>
    <mergeCell ref="B3:C3"/>
    <mergeCell ref="D3:E3"/>
    <mergeCell ref="F3:G3"/>
    <mergeCell ref="H3:I3"/>
    <mergeCell ref="J3:K3"/>
    <mergeCell ref="L3:M3"/>
    <mergeCell ref="H9:I9"/>
    <mergeCell ref="J9:K9"/>
    <mergeCell ref="B8:C8"/>
    <mergeCell ref="D8:E8"/>
    <mergeCell ref="F8:G8"/>
    <mergeCell ref="H8:I8"/>
    <mergeCell ref="J8:K8"/>
    <mergeCell ref="L8:M8"/>
    <mergeCell ref="B9:C9"/>
    <mergeCell ref="L9:M9"/>
    <mergeCell ref="D9:E9"/>
    <mergeCell ref="F9:G9"/>
    <mergeCell ref="D11:E11"/>
    <mergeCell ref="F11:G11"/>
    <mergeCell ref="H11:I11"/>
    <mergeCell ref="J11:K11"/>
    <mergeCell ref="L11:M11"/>
    <mergeCell ref="B11:C11"/>
    <mergeCell ref="B12:C12"/>
    <mergeCell ref="D12:E12"/>
    <mergeCell ref="F12:G12"/>
    <mergeCell ref="H12:I12"/>
    <mergeCell ref="J12:K12"/>
    <mergeCell ref="L12:M12"/>
    <mergeCell ref="L20:M20"/>
    <mergeCell ref="N20:O20"/>
    <mergeCell ref="P20:Q20"/>
    <mergeCell ref="B21:C21"/>
    <mergeCell ref="D21:E21"/>
    <mergeCell ref="F21:G21"/>
    <mergeCell ref="H21:I21"/>
    <mergeCell ref="J21:K21"/>
    <mergeCell ref="L21:M21"/>
    <mergeCell ref="N21:O21"/>
    <mergeCell ref="P21:Q2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3" max="3" width="13.25"/>
    <col customWidth="1" min="4" max="4" width="13.75"/>
    <col customWidth="1" min="5" max="5" width="13.63"/>
    <col customWidth="1" min="6" max="6" width="16.63"/>
    <col customWidth="1" min="7" max="7" width="19.25"/>
  </cols>
  <sheetData>
    <row r="1" ht="22.5" customHeight="1">
      <c r="A1" s="2" t="s">
        <v>53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</row>
    <row r="2" ht="22.5" customHeight="1">
      <c r="A2" s="25" t="s">
        <v>15</v>
      </c>
      <c r="B2" s="25" t="s">
        <v>60</v>
      </c>
      <c r="C2" s="25">
        <v>1.0</v>
      </c>
      <c r="D2" s="26">
        <f>recapextreme!B8</f>
        <v>800</v>
      </c>
      <c r="E2" s="25">
        <v>1632.0</v>
      </c>
      <c r="F2" s="26">
        <f>recapextreme!B9</f>
        <v>768</v>
      </c>
      <c r="G2" s="26">
        <f t="shared" ref="G2:G15" si="1">SUM(D2,F2)</f>
        <v>1568</v>
      </c>
    </row>
    <row r="3" ht="22.5" customHeight="1">
      <c r="A3" s="25" t="s">
        <v>16</v>
      </c>
      <c r="B3" s="25" t="s">
        <v>60</v>
      </c>
      <c r="C3" s="25">
        <v>3.0</v>
      </c>
      <c r="D3" s="26">
        <f>recapextreme!D8</f>
        <v>1184</v>
      </c>
      <c r="E3" s="25">
        <v>2400.0</v>
      </c>
      <c r="F3" s="26">
        <f>recapextreme!D9</f>
        <v>1088</v>
      </c>
      <c r="G3" s="26">
        <f t="shared" si="1"/>
        <v>2272</v>
      </c>
    </row>
    <row r="4" ht="22.5" customHeight="1">
      <c r="A4" s="25" t="s">
        <v>17</v>
      </c>
      <c r="B4" s="25" t="s">
        <v>60</v>
      </c>
      <c r="C4" s="25">
        <v>5.0</v>
      </c>
      <c r="D4" s="26">
        <f>recapextreme!F8</f>
        <v>1568</v>
      </c>
      <c r="E4" s="25">
        <v>3168.0</v>
      </c>
      <c r="F4" s="26">
        <f>recapextreme!F9</f>
        <v>1568</v>
      </c>
      <c r="G4" s="26">
        <f t="shared" si="1"/>
        <v>3136</v>
      </c>
    </row>
    <row r="5" ht="22.5" customHeight="1">
      <c r="A5" s="25" t="s">
        <v>41</v>
      </c>
      <c r="B5" s="25" t="s">
        <v>61</v>
      </c>
      <c r="C5" s="25">
        <v>2.0</v>
      </c>
      <c r="D5" s="26">
        <f>recapextreme!B20</f>
        <v>1312</v>
      </c>
      <c r="E5" s="25">
        <v>2528.0</v>
      </c>
      <c r="F5" s="26">
        <f>recapextreme!B21</f>
        <v>2420</v>
      </c>
      <c r="G5" s="26">
        <f t="shared" si="1"/>
        <v>3732</v>
      </c>
    </row>
    <row r="6" ht="22.5" customHeight="1">
      <c r="A6" s="25" t="s">
        <v>42</v>
      </c>
      <c r="B6" s="25" t="s">
        <v>61</v>
      </c>
      <c r="C6" s="25">
        <v>3.0</v>
      </c>
      <c r="D6" s="26">
        <f>recapextreme!D20</f>
        <v>1952</v>
      </c>
      <c r="E6" s="25">
        <v>4000.0</v>
      </c>
      <c r="F6" s="26">
        <f>recapextreme!D21</f>
        <v>3293</v>
      </c>
      <c r="G6" s="26">
        <f t="shared" si="1"/>
        <v>5245</v>
      </c>
    </row>
    <row r="7" ht="22.5" customHeight="1">
      <c r="A7" s="25" t="s">
        <v>43</v>
      </c>
      <c r="B7" s="25" t="s">
        <v>61</v>
      </c>
      <c r="C7" s="25">
        <v>5.0</v>
      </c>
      <c r="D7" s="26">
        <f>recapextreme!F20</f>
        <v>2592</v>
      </c>
      <c r="E7" s="25">
        <v>4864.0</v>
      </c>
      <c r="F7" s="26">
        <f>recapextreme!F21</f>
        <v>4595</v>
      </c>
      <c r="G7" s="26">
        <f t="shared" si="1"/>
        <v>7187</v>
      </c>
    </row>
    <row r="8" ht="22.5" customHeight="1">
      <c r="A8" s="25" t="s">
        <v>44</v>
      </c>
      <c r="B8" s="25" t="s">
        <v>61</v>
      </c>
      <c r="C8" s="25">
        <v>1.0</v>
      </c>
      <c r="D8" s="26">
        <f>recapextreme!H20</f>
        <v>32</v>
      </c>
      <c r="E8" s="25">
        <v>65.0</v>
      </c>
      <c r="F8" s="26">
        <f>recapextreme!H21</f>
        <v>7856</v>
      </c>
      <c r="G8" s="26">
        <f t="shared" si="1"/>
        <v>7888</v>
      </c>
    </row>
    <row r="9" ht="22.5" customHeight="1">
      <c r="A9" s="25" t="s">
        <v>45</v>
      </c>
      <c r="B9" s="25" t="s">
        <v>61</v>
      </c>
      <c r="C9" s="25">
        <v>3.0</v>
      </c>
      <c r="D9" s="26">
        <f>recapextreme!J20</f>
        <v>48</v>
      </c>
      <c r="E9" s="25">
        <v>96.0</v>
      </c>
      <c r="F9" s="26">
        <f>recapextreme!J21</f>
        <v>16224</v>
      </c>
      <c r="G9" s="26">
        <f t="shared" si="1"/>
        <v>16272</v>
      </c>
    </row>
    <row r="10" ht="22.5" customHeight="1">
      <c r="A10" s="25" t="s">
        <v>46</v>
      </c>
      <c r="B10" s="25" t="s">
        <v>61</v>
      </c>
      <c r="C10" s="25">
        <v>5.0</v>
      </c>
      <c r="D10" s="26">
        <f>recapextreme!L20</f>
        <v>64</v>
      </c>
      <c r="E10" s="25">
        <v>128.0</v>
      </c>
      <c r="F10" s="26">
        <f>recapextreme!L21</f>
        <v>29792</v>
      </c>
      <c r="G10" s="26">
        <f t="shared" si="1"/>
        <v>29856</v>
      </c>
    </row>
    <row r="11" ht="22.5" customHeight="1">
      <c r="A11" s="25" t="s">
        <v>30</v>
      </c>
      <c r="B11" s="25" t="s">
        <v>60</v>
      </c>
      <c r="C11" s="25">
        <v>1.0</v>
      </c>
      <c r="D11" s="26">
        <f>recapextreme!H8</f>
        <v>9616</v>
      </c>
      <c r="E11" s="25">
        <v>19888.0</v>
      </c>
      <c r="F11" s="26">
        <f>recapextreme!H9</f>
        <v>9720</v>
      </c>
      <c r="G11" s="26">
        <f t="shared" si="1"/>
        <v>19336</v>
      </c>
    </row>
    <row r="12" ht="22.5" customHeight="1">
      <c r="A12" s="25" t="s">
        <v>14</v>
      </c>
      <c r="B12" s="25" t="s">
        <v>60</v>
      </c>
      <c r="C12" s="25">
        <v>1.0</v>
      </c>
      <c r="D12" s="26">
        <f>recapextreme!J8</f>
        <v>1541</v>
      </c>
      <c r="E12" s="25">
        <v>5223.0</v>
      </c>
      <c r="F12" s="26">
        <f>recapextreme!J9</f>
        <v>1573</v>
      </c>
      <c r="G12" s="26">
        <f t="shared" si="1"/>
        <v>3114</v>
      </c>
    </row>
    <row r="13" ht="22.5" customHeight="1">
      <c r="A13" s="25" t="s">
        <v>21</v>
      </c>
      <c r="B13" s="25" t="s">
        <v>61</v>
      </c>
      <c r="C13" s="27" t="s">
        <v>62</v>
      </c>
      <c r="D13" s="28">
        <f>recapextreme!P20</f>
        <v>451</v>
      </c>
      <c r="E13" s="25">
        <v>1704.0</v>
      </c>
      <c r="F13" s="28">
        <f>recapextreme!P21</f>
        <v>256</v>
      </c>
      <c r="G13" s="28">
        <f t="shared" si="1"/>
        <v>707</v>
      </c>
    </row>
    <row r="14" ht="22.5" customHeight="1">
      <c r="A14" s="25" t="s">
        <v>20</v>
      </c>
      <c r="B14" s="25" t="s">
        <v>61</v>
      </c>
      <c r="C14" s="27" t="s">
        <v>63</v>
      </c>
      <c r="D14" s="26">
        <f>recapextreme!N20</f>
        <v>178</v>
      </c>
      <c r="E14" s="25">
        <v>241.0</v>
      </c>
      <c r="F14" s="26">
        <f>recapextreme!N21</f>
        <v>71</v>
      </c>
      <c r="G14" s="26">
        <f t="shared" si="1"/>
        <v>249</v>
      </c>
    </row>
    <row r="15" ht="22.5" customHeight="1">
      <c r="A15" s="25" t="s">
        <v>19</v>
      </c>
      <c r="B15" s="25" t="s">
        <v>60</v>
      </c>
      <c r="C15" s="27" t="s">
        <v>63</v>
      </c>
      <c r="D15" s="28">
        <f>recapextreme!P20</f>
        <v>451</v>
      </c>
      <c r="E15" s="25">
        <v>32.0</v>
      </c>
      <c r="F15" s="26">
        <f>recapextreme!L9</f>
        <v>32</v>
      </c>
      <c r="G15" s="28">
        <f t="shared" si="1"/>
        <v>483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